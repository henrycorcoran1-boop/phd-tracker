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Lists" sheetId="2" state="visible" r:id="rId2"/>
    <sheet name="Timesheet" sheetId="3" state="visible" r:id="rId3"/>
    <sheet name="Weekly Summary" sheetId="4" state="visible" r:id="rId4"/>
    <sheet name="Project &amp; Leave Summary" sheetId="5" state="visible" r:id="rId5"/>
    <sheet name="Dashboard" sheetId="6" state="visible" r:id="rId6"/>
  </sheets>
  <definedNames>
    <definedName name="StaffList">OFFSET(Lists!$A$2,0,0,COUNTA(Lists!$A$2:$A$1000),1)</definedName>
    <definedName name="AllocationList">OFFSET(Lists!$C$2,0,0,COUNTA(Lists!$C$2:$C$1000),1)</definedName>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b val="1"/>
      <color rgb="001F3864"/>
      <sz val="18"/>
    </font>
    <font>
      <sz val="11"/>
    </font>
    <font>
      <b val="1"/>
      <color rgb="002E5395"/>
      <sz val="12"/>
    </font>
    <font>
      <b val="1"/>
      <color rgb="00FFFFFF"/>
    </font>
    <font>
      <i val="1"/>
      <color rgb="00808080"/>
    </font>
    <font>
      <b val="1"/>
    </font>
    <font>
      <b val="1"/>
      <color rgb="001F3864"/>
      <sz val="16"/>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0" applyAlignment="1" pivotButton="0" quotePrefix="0" xfId="0">
      <alignment vertical="top" wrapText="1"/>
    </xf>
    <xf numFmtId="0" fontId="0" fillId="0" borderId="1" pivotButton="0" quotePrefix="0" xfId="0"/>
    <xf numFmtId="164" fontId="0" fillId="0" borderId="1" pivotButton="0" quotePrefix="0" xfId="0"/>
    <xf numFmtId="0" fontId="5" fillId="0" borderId="0" applyAlignment="1" pivotButton="0" quotePrefix="0" xfId="0">
      <alignment wrapText="1"/>
    </xf>
    <xf numFmtId="0" fontId="6" fillId="0" borderId="0" pivotButton="0" quotePrefix="0" xfId="0"/>
    <xf numFmtId="0" fontId="7" fillId="0" borderId="0" pivotButton="0" quotePrefix="0" xfId="0"/>
    <xf numFmtId="164" fontId="0" fillId="0" borderId="0" pivotButton="0" quotePrefix="0" xfId="0"/>
  </cellXfs>
  <cellStyles count="1">
    <cellStyle name="Normal" xfId="0" builtinId="0" hidden="0"/>
  </cellStyles>
  <dxfs count="4">
    <dxf>
      <font>
        <color rgb="00006100"/>
      </font>
      <fill>
        <patternFill patternType="solid">
          <fgColor rgb="00C6EFCE"/>
        </patternFill>
      </fill>
    </dxf>
    <dxf>
      <font>
        <color rgb="009C0006"/>
      </font>
      <fill>
        <patternFill patternType="solid">
          <fgColor rgb="00FFC7CE"/>
        </patternFill>
      </fill>
    </dxf>
    <dxf>
      <font>
        <color rgb="009C6500"/>
      </font>
      <fill>
        <patternFill patternType="solid">
          <fgColor rgb="00FFEB9C"/>
        </patternFill>
      </fill>
    </dxf>
    <dxf>
      <fill>
        <patternFill patternType="solid">
          <fgColor rgb="00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Hours by Allocation</a:t>
            </a:r>
          </a:p>
        </rich>
      </tx>
    </title>
    <plotArea>
      <barChart>
        <barDir val="col"/>
        <grouping val="clustered"/>
        <ser>
          <idx val="0"/>
          <order val="0"/>
          <tx>
            <strRef>
              <f>'Project &amp; Leave Summary'!G1</f>
            </strRef>
          </tx>
          <spPr>
            <a:ln>
              <a:prstDash val="solid"/>
            </a:ln>
          </spPr>
          <cat>
            <numRef>
              <f>'Project &amp; Leave Summary'!$A$2:$A$21</f>
            </numRef>
          </cat>
          <val>
            <numRef>
              <f>'Project &amp; Leave Summary'!$G$2:$G$21</f>
            </numRef>
          </val>
        </ser>
        <gapWidth val="150"/>
        <axId val="10"/>
        <axId val="100"/>
      </barChart>
      <catAx>
        <axId val="10"/>
        <scaling>
          <orientation val="minMax"/>
        </scaling>
        <axPos val="l"/>
        <title>
          <tx>
            <rich>
              <a:bodyPr/>
              <a:p>
                <a:pPr>
                  <a:defRPr/>
                </a:pPr>
                <a:r>
                  <a:t>Project / Leave Type</a:t>
                </a:r>
              </a:p>
            </rich>
          </tx>
        </title>
        <majorTickMark val="none"/>
        <minorTickMark val="none"/>
        <crossAx val="100"/>
        <lblOffset val="100"/>
      </catAx>
      <valAx>
        <axId val="100"/>
        <scaling>
          <orientation val="minMax"/>
        </scaling>
        <axPos val="l"/>
        <majorGridlines/>
        <title>
          <tx>
            <rich>
              <a:bodyPr/>
              <a:p>
                <a:pPr>
                  <a:defRPr/>
                </a:pPr>
                <a:r>
                  <a:t>Hours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Project vs Leave Time</a:t>
            </a:r>
          </a:p>
        </rich>
      </tx>
    </title>
    <plotArea>
      <pieChart>
        <varyColors val="1"/>
        <ser>
          <idx val="0"/>
          <order val="0"/>
          <spPr>
            <a:ln>
              <a:prstDash val="solid"/>
            </a:ln>
          </spPr>
          <cat>
            <numRef>
              <f>'Project &amp; Leave Summary'!$A$25:$A$26</f>
            </numRef>
          </cat>
          <val>
            <numRef>
              <f>'Project &amp; Leave Summary'!$G$25:$G$26</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Hours by Allocation</a:t>
            </a:r>
          </a:p>
        </rich>
      </tx>
    </title>
    <plotArea>
      <barChart>
        <barDir val="col"/>
        <grouping val="clustered"/>
        <ser>
          <idx val="0"/>
          <order val="0"/>
          <tx>
            <strRef>
              <f>'Project &amp; Leave Summary'!G1</f>
            </strRef>
          </tx>
          <spPr>
            <a:ln>
              <a:prstDash val="solid"/>
            </a:ln>
          </spPr>
          <cat>
            <numRef>
              <f>'Project &amp; Leave Summary'!$A$2:$A$21</f>
            </numRef>
          </cat>
          <val>
            <numRef>
              <f>'Project &amp; Leave Summary'!$G$2:$G$21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Hours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Project vs Leave Time</a:t>
            </a:r>
          </a:p>
        </rich>
      </tx>
    </title>
    <plotArea>
      <pieChart>
        <varyColors val="1"/>
        <ser>
          <idx val="0"/>
          <order val="0"/>
          <spPr>
            <a:ln>
              <a:prstDash val="solid"/>
            </a:ln>
          </spPr>
          <cat>
            <numRef>
              <f>'Project &amp; Leave Summary'!$A$25:$A$26</f>
            </numRef>
          </cat>
          <val>
            <numRef>
              <f>'Project &amp; Leave Summary'!$G$25:$G$26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28</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28</row>
      <rowOff>0</rowOff>
    </from>
    <ext cx="432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11</row>
      <rowOff>0</rowOff>
    </from>
    <ext cx="432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3" customWidth="1" min="1" max="1"/>
    <col width="100" customWidth="1" min="2" max="2"/>
  </cols>
  <sheetData>
    <row r="2">
      <c r="B2" s="1" t="inlineStr">
        <is>
          <t>Resource Tracker – How to Use</t>
        </is>
      </c>
    </row>
    <row r="4" ht="8" customHeight="1">
      <c r="B4" s="2" t="inlineStr"/>
    </row>
    <row r="5" ht="30" customHeight="1">
      <c r="B5" s="3" t="inlineStr">
        <is>
          <t>1. Set up your team and projects on the 'Lists' tab</t>
        </is>
      </c>
    </row>
    <row r="6" ht="30" customHeight="1">
      <c r="B6" s="2" t="inlineStr">
        <is>
          <t xml:space="preserve">   Replace the 4 placeholder staff names with your team's real names. Add or remove projects and leave types in the 'Allocation' column. Every dropdown in this workbook reads from this tab automatically, so anything you add here shows up as a new dropdown option immediately - no formulas to touch.</t>
        </is>
      </c>
    </row>
    <row r="7" ht="8" customHeight="1">
      <c r="B7" s="2" t="inlineStr"/>
    </row>
    <row r="8" ht="30" customHeight="1">
      <c r="B8" s="3" t="inlineStr">
        <is>
          <t>2. Log time on the 'Timesheet' tab</t>
        </is>
      </c>
    </row>
    <row r="9" ht="30" customHeight="1">
      <c r="B9" s="2" t="inlineStr">
        <is>
          <t xml:space="preserve">   One row = one person, one date, one allocation (project or leave), and the hours spent. If someone splits a day across two projects, just add two rows for that date - e.g. Jane / Project Alpha / 4.5 hours, then Jane / Project Beta / 3 hours. The standard day is 7.5 hours.</t>
        </is>
      </c>
    </row>
    <row r="10" ht="30" customHeight="1">
      <c r="B10" s="2" t="inlineStr">
        <is>
          <t xml:space="preserve">   The 'Type', 'Week Ending' and 'Daily Total' columns fill in automatically. 'Daily Total' turns green at exactly 7.5 hours for that person/date, amber if under, and red if over - so gaps or double-booked time jump out immediately.</t>
        </is>
      </c>
    </row>
    <row r="11" ht="8" customHeight="1">
      <c r="B11" s="2" t="inlineStr"/>
    </row>
    <row r="12" ht="30" customHeight="1">
      <c r="B12" s="3" t="inlineStr">
        <is>
          <t>3. Check the automated summaries</t>
        </is>
      </c>
    </row>
    <row r="13" ht="30" customHeight="1">
      <c r="B13" s="2" t="inlineStr">
        <is>
          <t xml:space="preserve">   'Weekly Summary' totals each person's hours per week against the 37.5 hour target and flags the variance.</t>
        </is>
      </c>
    </row>
    <row r="14" ht="30" customHeight="1">
      <c r="B14" s="2" t="inlineStr">
        <is>
          <t xml:space="preserve">   'Project &amp; Leave Summary' breaks total hours down by project/leave type and by person, with charts, so you can see at a glance where the team's time is going.</t>
        </is>
      </c>
    </row>
    <row r="15" ht="30" customHeight="1">
      <c r="B15" s="2" t="inlineStr">
        <is>
          <t xml:space="preserve">   'Dashboard' gives a one-page snapshot of the current week.</t>
        </is>
      </c>
    </row>
    <row r="16" ht="8" customHeight="1">
      <c r="B16" s="2" t="inlineStr"/>
    </row>
    <row r="17" ht="30" customHeight="1">
      <c r="B17" s="3" t="inlineStr">
        <is>
          <t>4. Extending the tracker</t>
        </is>
      </c>
    </row>
    <row r="18" ht="30" customHeight="1">
      <c r="B18" s="2" t="inlineStr">
        <is>
          <t xml:space="preserve">   The Timesheet has 1,000 pre-formatted rows ready to go. If you add a 5th team member, add their name to the Lists tab, then copy a staff column formula across on the Weekly Summary and Project &amp; Leave Summary tabs (select an existing staff column and drag/copy it one column over).</t>
        </is>
      </c>
    </row>
    <row r="19" ht="30" customHeight="1">
      <c r="B19" s="2" t="inlineStr">
        <is>
          <t xml:space="preserve">   All dropdowns are driven by named ranges (StaffList / AllocationList) that auto-expand as you add rows to the Lists tab - you never need to edit the dropdown itself.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24" customWidth="1" min="1" max="1"/>
    <col width="3" customWidth="1" min="2" max="2"/>
    <col width="28" customWidth="1" min="3" max="3"/>
    <col width="14" customWidth="1" min="4" max="4"/>
    <col width="3" customWidth="1" min="5" max="5"/>
    <col width="60" customWidth="1" min="6" max="6"/>
  </cols>
  <sheetData>
    <row r="1" ht="30" customHeight="1">
      <c r="A1" s="4" t="inlineStr">
        <is>
          <t>Staff Name</t>
        </is>
      </c>
      <c r="C1" s="4" t="inlineStr">
        <is>
          <t>Allocation (Project or Leave Type)</t>
        </is>
      </c>
      <c r="D1" s="4" t="inlineStr">
        <is>
          <t>Type</t>
        </is>
      </c>
      <c r="F1" s="5" t="inlineStr">
        <is>
          <t>Edit these lists freely. Add a row and it is picked up everywhere automatically (dropdowns, summaries, charts) via the StaffList / AllocationList named ranges.</t>
        </is>
      </c>
    </row>
    <row r="2">
      <c r="A2" s="6" t="inlineStr">
        <is>
          <t>Line Report 1</t>
        </is>
      </c>
      <c r="C2" s="6" t="inlineStr">
        <is>
          <t>Project A</t>
        </is>
      </c>
      <c r="D2" s="6" t="inlineStr">
        <is>
          <t>Project</t>
        </is>
      </c>
    </row>
    <row r="3">
      <c r="A3" s="6" t="inlineStr">
        <is>
          <t>Line Report 2</t>
        </is>
      </c>
      <c r="C3" s="6" t="inlineStr">
        <is>
          <t>Project B</t>
        </is>
      </c>
      <c r="D3" s="6" t="inlineStr">
        <is>
          <t>Project</t>
        </is>
      </c>
    </row>
    <row r="4">
      <c r="A4" s="6" t="inlineStr">
        <is>
          <t>Line Report 3</t>
        </is>
      </c>
      <c r="C4" s="6" t="inlineStr">
        <is>
          <t>Project C</t>
        </is>
      </c>
      <c r="D4" s="6" t="inlineStr">
        <is>
          <t>Project</t>
        </is>
      </c>
    </row>
    <row r="5">
      <c r="A5" s="6" t="inlineStr">
        <is>
          <t>Line Report 4</t>
        </is>
      </c>
      <c r="C5" s="6" t="inlineStr">
        <is>
          <t>Project D</t>
        </is>
      </c>
      <c r="D5" s="6" t="inlineStr">
        <is>
          <t>Project</t>
        </is>
      </c>
    </row>
    <row r="6">
      <c r="C6" s="6" t="inlineStr">
        <is>
          <t>Annual Leave</t>
        </is>
      </c>
      <c r="D6" s="6" t="inlineStr">
        <is>
          <t>Leave</t>
        </is>
      </c>
    </row>
    <row r="7">
      <c r="C7" s="6" t="inlineStr">
        <is>
          <t>Sick Leave</t>
        </is>
      </c>
      <c r="D7" s="6" t="inlineStr">
        <is>
          <t>Leave</t>
        </is>
      </c>
    </row>
    <row r="8">
      <c r="C8" s="6" t="inlineStr">
        <is>
          <t>Public Holiday</t>
        </is>
      </c>
      <c r="D8" s="6" t="inlineStr">
        <is>
          <t>Leave</t>
        </is>
      </c>
    </row>
    <row r="9">
      <c r="C9" s="6" t="inlineStr">
        <is>
          <t>Training / Development</t>
        </is>
      </c>
      <c r="D9" s="6" t="inlineStr">
        <is>
          <t>Leave</t>
        </is>
      </c>
    </row>
    <row r="10">
      <c r="C10" s="6" t="inlineStr">
        <is>
          <t>Other Absence</t>
        </is>
      </c>
      <c r="D10" s="6" t="inlineStr">
        <is>
          <t>Leave</t>
        </is>
      </c>
    </row>
  </sheetData>
  <dataValidations count="1">
    <dataValidation sqref="D2:D30" showDropDown="0" showInputMessage="0" showErrorMessage="0" allowBlank="1" type="list">
      <formula1>"Project,Leave"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26" customWidth="1" min="3" max="3"/>
    <col width="10" customWidth="1" min="4" max="4"/>
    <col width="9" customWidth="1" min="5" max="5"/>
    <col width="30" customWidth="1" min="6" max="6"/>
    <col width="13" customWidth="1" min="7" max="7"/>
    <col width="22" customWidth="1" min="8" max="8"/>
  </cols>
  <sheetData>
    <row r="1">
      <c r="A1" s="4" t="inlineStr">
        <is>
          <t>Date</t>
        </is>
      </c>
      <c r="B1" s="4" t="inlineStr">
        <is>
          <t>Staff Name</t>
        </is>
      </c>
      <c r="C1" s="4" t="inlineStr">
        <is>
          <t>Allocation (Project / Leave)</t>
        </is>
      </c>
      <c r="D1" s="4" t="inlineStr">
        <is>
          <t>Type</t>
        </is>
      </c>
      <c r="E1" s="4" t="inlineStr">
        <is>
          <t>Hours</t>
        </is>
      </c>
      <c r="F1" s="4" t="inlineStr">
        <is>
          <t>Notes</t>
        </is>
      </c>
      <c r="G1" s="4" t="inlineStr">
        <is>
          <t>Week Ending</t>
        </is>
      </c>
      <c r="H1" s="4" t="inlineStr">
        <is>
          <t>Daily Total (person/date)</t>
        </is>
      </c>
    </row>
    <row r="2">
      <c r="A2" s="7" t="n"/>
      <c r="B2" s="6" t="n"/>
      <c r="C2" s="6" t="n"/>
      <c r="D2" s="6">
        <f>IF(C2="","",IFERROR(VLOOKUP(C2,Lists!$C:$D,2,FALSE),""))</f>
        <v/>
      </c>
      <c r="E2" s="6" t="n"/>
      <c r="F2" s="6" t="n"/>
      <c r="G2" s="7">
        <f>IF(A2="","",A2+(7-WEEKDAY(A2,2)))</f>
        <v/>
      </c>
      <c r="H2" s="6">
        <f>IF(OR(A2="",B2=""),"",SUMIFS($E$2:$E$1001,$A$2:$A$1001,A2,$B$2:$B$1001,B2))</f>
        <v/>
      </c>
    </row>
    <row r="3">
      <c r="A3" s="7" t="n"/>
      <c r="B3" s="6" t="n"/>
      <c r="C3" s="6" t="n"/>
      <c r="D3" s="6">
        <f>IF(C3="","",IFERROR(VLOOKUP(C3,Lists!$C:$D,2,FALSE),""))</f>
        <v/>
      </c>
      <c r="E3" s="6" t="n"/>
      <c r="F3" s="6" t="n"/>
      <c r="G3" s="7">
        <f>IF(A3="","",A3+(7-WEEKDAY(A3,2)))</f>
        <v/>
      </c>
      <c r="H3" s="6">
        <f>IF(OR(A3="",B3=""),"",SUMIFS($E$2:$E$1001,$A$2:$A$1001,A3,$B$2:$B$1001,B3))</f>
        <v/>
      </c>
    </row>
    <row r="4">
      <c r="A4" s="7" t="n"/>
      <c r="B4" s="6" t="n"/>
      <c r="C4" s="6" t="n"/>
      <c r="D4" s="6">
        <f>IF(C4="","",IFERROR(VLOOKUP(C4,Lists!$C:$D,2,FALSE),""))</f>
        <v/>
      </c>
      <c r="E4" s="6" t="n"/>
      <c r="F4" s="6" t="n"/>
      <c r="G4" s="7">
        <f>IF(A4="","",A4+(7-WEEKDAY(A4,2)))</f>
        <v/>
      </c>
      <c r="H4" s="6">
        <f>IF(OR(A4="",B4=""),"",SUMIFS($E$2:$E$1001,$A$2:$A$1001,A4,$B$2:$B$1001,B4))</f>
        <v/>
      </c>
    </row>
    <row r="5">
      <c r="A5" s="7" t="n"/>
      <c r="B5" s="6" t="n"/>
      <c r="C5" s="6" t="n"/>
      <c r="D5" s="6">
        <f>IF(C5="","",IFERROR(VLOOKUP(C5,Lists!$C:$D,2,FALSE),""))</f>
        <v/>
      </c>
      <c r="E5" s="6" t="n"/>
      <c r="F5" s="6" t="n"/>
      <c r="G5" s="7">
        <f>IF(A5="","",A5+(7-WEEKDAY(A5,2)))</f>
        <v/>
      </c>
      <c r="H5" s="6">
        <f>IF(OR(A5="",B5=""),"",SUMIFS($E$2:$E$1001,$A$2:$A$1001,A5,$B$2:$B$1001,B5))</f>
        <v/>
      </c>
    </row>
    <row r="6">
      <c r="A6" s="7" t="n"/>
      <c r="B6" s="6" t="n"/>
      <c r="C6" s="6" t="n"/>
      <c r="D6" s="6">
        <f>IF(C6="","",IFERROR(VLOOKUP(C6,Lists!$C:$D,2,FALSE),""))</f>
        <v/>
      </c>
      <c r="E6" s="6" t="n"/>
      <c r="F6" s="6" t="n"/>
      <c r="G6" s="7">
        <f>IF(A6="","",A6+(7-WEEKDAY(A6,2)))</f>
        <v/>
      </c>
      <c r="H6" s="6">
        <f>IF(OR(A6="",B6=""),"",SUMIFS($E$2:$E$1001,$A$2:$A$1001,A6,$B$2:$B$1001,B6))</f>
        <v/>
      </c>
    </row>
    <row r="7">
      <c r="A7" s="7" t="n"/>
      <c r="B7" s="6" t="n"/>
      <c r="C7" s="6" t="n"/>
      <c r="D7" s="6">
        <f>IF(C7="","",IFERROR(VLOOKUP(C7,Lists!$C:$D,2,FALSE),""))</f>
        <v/>
      </c>
      <c r="E7" s="6" t="n"/>
      <c r="F7" s="6" t="n"/>
      <c r="G7" s="7">
        <f>IF(A7="","",A7+(7-WEEKDAY(A7,2)))</f>
        <v/>
      </c>
      <c r="H7" s="6">
        <f>IF(OR(A7="",B7=""),"",SUMIFS($E$2:$E$1001,$A$2:$A$1001,A7,$B$2:$B$1001,B7))</f>
        <v/>
      </c>
    </row>
    <row r="8">
      <c r="A8" s="7" t="n"/>
      <c r="B8" s="6" t="n"/>
      <c r="C8" s="6" t="n"/>
      <c r="D8" s="6">
        <f>IF(C8="","",IFERROR(VLOOKUP(C8,Lists!$C:$D,2,FALSE),""))</f>
        <v/>
      </c>
      <c r="E8" s="6" t="n"/>
      <c r="F8" s="6" t="n"/>
      <c r="G8" s="7">
        <f>IF(A8="","",A8+(7-WEEKDAY(A8,2)))</f>
        <v/>
      </c>
      <c r="H8" s="6">
        <f>IF(OR(A8="",B8=""),"",SUMIFS($E$2:$E$1001,$A$2:$A$1001,A8,$B$2:$B$1001,B8))</f>
        <v/>
      </c>
    </row>
    <row r="9">
      <c r="A9" s="7" t="n"/>
      <c r="B9" s="6" t="n"/>
      <c r="C9" s="6" t="n"/>
      <c r="D9" s="6">
        <f>IF(C9="","",IFERROR(VLOOKUP(C9,Lists!$C:$D,2,FALSE),""))</f>
        <v/>
      </c>
      <c r="E9" s="6" t="n"/>
      <c r="F9" s="6" t="n"/>
      <c r="G9" s="7">
        <f>IF(A9="","",A9+(7-WEEKDAY(A9,2)))</f>
        <v/>
      </c>
      <c r="H9" s="6">
        <f>IF(OR(A9="",B9=""),"",SUMIFS($E$2:$E$1001,$A$2:$A$1001,A9,$B$2:$B$1001,B9))</f>
        <v/>
      </c>
    </row>
    <row r="10">
      <c r="A10" s="7" t="n"/>
      <c r="B10" s="6" t="n"/>
      <c r="C10" s="6" t="n"/>
      <c r="D10" s="6">
        <f>IF(C10="","",IFERROR(VLOOKUP(C10,Lists!$C:$D,2,FALSE),""))</f>
        <v/>
      </c>
      <c r="E10" s="6" t="n"/>
      <c r="F10" s="6" t="n"/>
      <c r="G10" s="7">
        <f>IF(A10="","",A10+(7-WEEKDAY(A10,2)))</f>
        <v/>
      </c>
      <c r="H10" s="6">
        <f>IF(OR(A10="",B10=""),"",SUMIFS($E$2:$E$1001,$A$2:$A$1001,A10,$B$2:$B$1001,B10))</f>
        <v/>
      </c>
    </row>
    <row r="11">
      <c r="A11" s="7" t="n"/>
      <c r="B11" s="6" t="n"/>
      <c r="C11" s="6" t="n"/>
      <c r="D11" s="6">
        <f>IF(C11="","",IFERROR(VLOOKUP(C11,Lists!$C:$D,2,FALSE),""))</f>
        <v/>
      </c>
      <c r="E11" s="6" t="n"/>
      <c r="F11" s="6" t="n"/>
      <c r="G11" s="7">
        <f>IF(A11="","",A11+(7-WEEKDAY(A11,2)))</f>
        <v/>
      </c>
      <c r="H11" s="6">
        <f>IF(OR(A11="",B11=""),"",SUMIFS($E$2:$E$1001,$A$2:$A$1001,A11,$B$2:$B$1001,B11))</f>
        <v/>
      </c>
    </row>
    <row r="12">
      <c r="A12" s="7" t="n"/>
      <c r="B12" s="6" t="n"/>
      <c r="C12" s="6" t="n"/>
      <c r="D12" s="6">
        <f>IF(C12="","",IFERROR(VLOOKUP(C12,Lists!$C:$D,2,FALSE),""))</f>
        <v/>
      </c>
      <c r="E12" s="6" t="n"/>
      <c r="F12" s="6" t="n"/>
      <c r="G12" s="7">
        <f>IF(A12="","",A12+(7-WEEKDAY(A12,2)))</f>
        <v/>
      </c>
      <c r="H12" s="6">
        <f>IF(OR(A12="",B12=""),"",SUMIFS($E$2:$E$1001,$A$2:$A$1001,A12,$B$2:$B$1001,B12))</f>
        <v/>
      </c>
    </row>
    <row r="13">
      <c r="A13" s="7" t="n"/>
      <c r="B13" s="6" t="n"/>
      <c r="C13" s="6" t="n"/>
      <c r="D13" s="6">
        <f>IF(C13="","",IFERROR(VLOOKUP(C13,Lists!$C:$D,2,FALSE),""))</f>
        <v/>
      </c>
      <c r="E13" s="6" t="n"/>
      <c r="F13" s="6" t="n"/>
      <c r="G13" s="7">
        <f>IF(A13="","",A13+(7-WEEKDAY(A13,2)))</f>
        <v/>
      </c>
      <c r="H13" s="6">
        <f>IF(OR(A13="",B13=""),"",SUMIFS($E$2:$E$1001,$A$2:$A$1001,A13,$B$2:$B$1001,B13))</f>
        <v/>
      </c>
    </row>
    <row r="14">
      <c r="A14" s="7" t="n"/>
      <c r="B14" s="6" t="n"/>
      <c r="C14" s="6" t="n"/>
      <c r="D14" s="6">
        <f>IF(C14="","",IFERROR(VLOOKUP(C14,Lists!$C:$D,2,FALSE),""))</f>
        <v/>
      </c>
      <c r="E14" s="6" t="n"/>
      <c r="F14" s="6" t="n"/>
      <c r="G14" s="7">
        <f>IF(A14="","",A14+(7-WEEKDAY(A14,2)))</f>
        <v/>
      </c>
      <c r="H14" s="6">
        <f>IF(OR(A14="",B14=""),"",SUMIFS($E$2:$E$1001,$A$2:$A$1001,A14,$B$2:$B$1001,B14))</f>
        <v/>
      </c>
    </row>
    <row r="15">
      <c r="A15" s="7" t="n"/>
      <c r="B15" s="6" t="n"/>
      <c r="C15" s="6" t="n"/>
      <c r="D15" s="6">
        <f>IF(C15="","",IFERROR(VLOOKUP(C15,Lists!$C:$D,2,FALSE),""))</f>
        <v/>
      </c>
      <c r="E15" s="6" t="n"/>
      <c r="F15" s="6" t="n"/>
      <c r="G15" s="7">
        <f>IF(A15="","",A15+(7-WEEKDAY(A15,2)))</f>
        <v/>
      </c>
      <c r="H15" s="6">
        <f>IF(OR(A15="",B15=""),"",SUMIFS($E$2:$E$1001,$A$2:$A$1001,A15,$B$2:$B$1001,B15))</f>
        <v/>
      </c>
    </row>
    <row r="16">
      <c r="A16" s="7" t="n"/>
      <c r="B16" s="6" t="n"/>
      <c r="C16" s="6" t="n"/>
      <c r="D16" s="6">
        <f>IF(C16="","",IFERROR(VLOOKUP(C16,Lists!$C:$D,2,FALSE),""))</f>
        <v/>
      </c>
      <c r="E16" s="6" t="n"/>
      <c r="F16" s="6" t="n"/>
      <c r="G16" s="7">
        <f>IF(A16="","",A16+(7-WEEKDAY(A16,2)))</f>
        <v/>
      </c>
      <c r="H16" s="6">
        <f>IF(OR(A16="",B16=""),"",SUMIFS($E$2:$E$1001,$A$2:$A$1001,A16,$B$2:$B$1001,B16))</f>
        <v/>
      </c>
    </row>
    <row r="17">
      <c r="A17" s="7" t="n"/>
      <c r="B17" s="6" t="n"/>
      <c r="C17" s="6" t="n"/>
      <c r="D17" s="6">
        <f>IF(C17="","",IFERROR(VLOOKUP(C17,Lists!$C:$D,2,FALSE),""))</f>
        <v/>
      </c>
      <c r="E17" s="6" t="n"/>
      <c r="F17" s="6" t="n"/>
      <c r="G17" s="7">
        <f>IF(A17="","",A17+(7-WEEKDAY(A17,2)))</f>
        <v/>
      </c>
      <c r="H17" s="6">
        <f>IF(OR(A17="",B17=""),"",SUMIFS($E$2:$E$1001,$A$2:$A$1001,A17,$B$2:$B$1001,B17))</f>
        <v/>
      </c>
    </row>
    <row r="18">
      <c r="A18" s="7" t="n"/>
      <c r="B18" s="6" t="n"/>
      <c r="C18" s="6" t="n"/>
      <c r="D18" s="6">
        <f>IF(C18="","",IFERROR(VLOOKUP(C18,Lists!$C:$D,2,FALSE),""))</f>
        <v/>
      </c>
      <c r="E18" s="6" t="n"/>
      <c r="F18" s="6" t="n"/>
      <c r="G18" s="7">
        <f>IF(A18="","",A18+(7-WEEKDAY(A18,2)))</f>
        <v/>
      </c>
      <c r="H18" s="6">
        <f>IF(OR(A18="",B18=""),"",SUMIFS($E$2:$E$1001,$A$2:$A$1001,A18,$B$2:$B$1001,B18))</f>
        <v/>
      </c>
    </row>
    <row r="19">
      <c r="A19" s="7" t="n"/>
      <c r="B19" s="6" t="n"/>
      <c r="C19" s="6" t="n"/>
      <c r="D19" s="6">
        <f>IF(C19="","",IFERROR(VLOOKUP(C19,Lists!$C:$D,2,FALSE),""))</f>
        <v/>
      </c>
      <c r="E19" s="6" t="n"/>
      <c r="F19" s="6" t="n"/>
      <c r="G19" s="7">
        <f>IF(A19="","",A19+(7-WEEKDAY(A19,2)))</f>
        <v/>
      </c>
      <c r="H19" s="6">
        <f>IF(OR(A19="",B19=""),"",SUMIFS($E$2:$E$1001,$A$2:$A$1001,A19,$B$2:$B$1001,B19))</f>
        <v/>
      </c>
    </row>
    <row r="20">
      <c r="A20" s="7" t="n"/>
      <c r="B20" s="6" t="n"/>
      <c r="C20" s="6" t="n"/>
      <c r="D20" s="6">
        <f>IF(C20="","",IFERROR(VLOOKUP(C20,Lists!$C:$D,2,FALSE),""))</f>
        <v/>
      </c>
      <c r="E20" s="6" t="n"/>
      <c r="F20" s="6" t="n"/>
      <c r="G20" s="7">
        <f>IF(A20="","",A20+(7-WEEKDAY(A20,2)))</f>
        <v/>
      </c>
      <c r="H20" s="6">
        <f>IF(OR(A20="",B20=""),"",SUMIFS($E$2:$E$1001,$A$2:$A$1001,A20,$B$2:$B$1001,B20))</f>
        <v/>
      </c>
    </row>
    <row r="21">
      <c r="A21" s="7" t="n"/>
      <c r="B21" s="6" t="n"/>
      <c r="C21" s="6" t="n"/>
      <c r="D21" s="6">
        <f>IF(C21="","",IFERROR(VLOOKUP(C21,Lists!$C:$D,2,FALSE),""))</f>
        <v/>
      </c>
      <c r="E21" s="6" t="n"/>
      <c r="F21" s="6" t="n"/>
      <c r="G21" s="7">
        <f>IF(A21="","",A21+(7-WEEKDAY(A21,2)))</f>
        <v/>
      </c>
      <c r="H21" s="6">
        <f>IF(OR(A21="",B21=""),"",SUMIFS($E$2:$E$1001,$A$2:$A$1001,A21,$B$2:$B$1001,B21))</f>
        <v/>
      </c>
    </row>
    <row r="22">
      <c r="A22" s="7" t="n"/>
      <c r="B22" s="6" t="n"/>
      <c r="C22" s="6" t="n"/>
      <c r="D22" s="6">
        <f>IF(C22="","",IFERROR(VLOOKUP(C22,Lists!$C:$D,2,FALSE),""))</f>
        <v/>
      </c>
      <c r="E22" s="6" t="n"/>
      <c r="F22" s="6" t="n"/>
      <c r="G22" s="7">
        <f>IF(A22="","",A22+(7-WEEKDAY(A22,2)))</f>
        <v/>
      </c>
      <c r="H22" s="6">
        <f>IF(OR(A22="",B22=""),"",SUMIFS($E$2:$E$1001,$A$2:$A$1001,A22,$B$2:$B$1001,B22))</f>
        <v/>
      </c>
    </row>
    <row r="23">
      <c r="A23" s="7" t="n"/>
      <c r="B23" s="6" t="n"/>
      <c r="C23" s="6" t="n"/>
      <c r="D23" s="6">
        <f>IF(C23="","",IFERROR(VLOOKUP(C23,Lists!$C:$D,2,FALSE),""))</f>
        <v/>
      </c>
      <c r="E23" s="6" t="n"/>
      <c r="F23" s="6" t="n"/>
      <c r="G23" s="7">
        <f>IF(A23="","",A23+(7-WEEKDAY(A23,2)))</f>
        <v/>
      </c>
      <c r="H23" s="6">
        <f>IF(OR(A23="",B23=""),"",SUMIFS($E$2:$E$1001,$A$2:$A$1001,A23,$B$2:$B$1001,B23))</f>
        <v/>
      </c>
    </row>
    <row r="24">
      <c r="A24" s="7" t="n"/>
      <c r="B24" s="6" t="n"/>
      <c r="C24" s="6" t="n"/>
      <c r="D24" s="6">
        <f>IF(C24="","",IFERROR(VLOOKUP(C24,Lists!$C:$D,2,FALSE),""))</f>
        <v/>
      </c>
      <c r="E24" s="6" t="n"/>
      <c r="F24" s="6" t="n"/>
      <c r="G24" s="7">
        <f>IF(A24="","",A24+(7-WEEKDAY(A24,2)))</f>
        <v/>
      </c>
      <c r="H24" s="6">
        <f>IF(OR(A24="",B24=""),"",SUMIFS($E$2:$E$1001,$A$2:$A$1001,A24,$B$2:$B$1001,B24))</f>
        <v/>
      </c>
    </row>
    <row r="25">
      <c r="A25" s="7" t="n"/>
      <c r="B25" s="6" t="n"/>
      <c r="C25" s="6" t="n"/>
      <c r="D25" s="6">
        <f>IF(C25="","",IFERROR(VLOOKUP(C25,Lists!$C:$D,2,FALSE),""))</f>
        <v/>
      </c>
      <c r="E25" s="6" t="n"/>
      <c r="F25" s="6" t="n"/>
      <c r="G25" s="7">
        <f>IF(A25="","",A25+(7-WEEKDAY(A25,2)))</f>
        <v/>
      </c>
      <c r="H25" s="6">
        <f>IF(OR(A25="",B25=""),"",SUMIFS($E$2:$E$1001,$A$2:$A$1001,A25,$B$2:$B$1001,B25))</f>
        <v/>
      </c>
    </row>
    <row r="26">
      <c r="A26" s="7" t="n"/>
      <c r="B26" s="6" t="n"/>
      <c r="C26" s="6" t="n"/>
      <c r="D26" s="6">
        <f>IF(C26="","",IFERROR(VLOOKUP(C26,Lists!$C:$D,2,FALSE),""))</f>
        <v/>
      </c>
      <c r="E26" s="6" t="n"/>
      <c r="F26" s="6" t="n"/>
      <c r="G26" s="7">
        <f>IF(A26="","",A26+(7-WEEKDAY(A26,2)))</f>
        <v/>
      </c>
      <c r="H26" s="6">
        <f>IF(OR(A26="",B26=""),"",SUMIFS($E$2:$E$1001,$A$2:$A$1001,A26,$B$2:$B$1001,B26))</f>
        <v/>
      </c>
    </row>
    <row r="27">
      <c r="A27" s="7" t="n"/>
      <c r="B27" s="6" t="n"/>
      <c r="C27" s="6" t="n"/>
      <c r="D27" s="6">
        <f>IF(C27="","",IFERROR(VLOOKUP(C27,Lists!$C:$D,2,FALSE),""))</f>
        <v/>
      </c>
      <c r="E27" s="6" t="n"/>
      <c r="F27" s="6" t="n"/>
      <c r="G27" s="7">
        <f>IF(A27="","",A27+(7-WEEKDAY(A27,2)))</f>
        <v/>
      </c>
      <c r="H27" s="6">
        <f>IF(OR(A27="",B27=""),"",SUMIFS($E$2:$E$1001,$A$2:$A$1001,A27,$B$2:$B$1001,B27))</f>
        <v/>
      </c>
    </row>
    <row r="28">
      <c r="A28" s="7" t="n"/>
      <c r="B28" s="6" t="n"/>
      <c r="C28" s="6" t="n"/>
      <c r="D28" s="6">
        <f>IF(C28="","",IFERROR(VLOOKUP(C28,Lists!$C:$D,2,FALSE),""))</f>
        <v/>
      </c>
      <c r="E28" s="6" t="n"/>
      <c r="F28" s="6" t="n"/>
      <c r="G28" s="7">
        <f>IF(A28="","",A28+(7-WEEKDAY(A28,2)))</f>
        <v/>
      </c>
      <c r="H28" s="6">
        <f>IF(OR(A28="",B28=""),"",SUMIFS($E$2:$E$1001,$A$2:$A$1001,A28,$B$2:$B$1001,B28))</f>
        <v/>
      </c>
    </row>
    <row r="29">
      <c r="A29" s="7" t="n"/>
      <c r="B29" s="6" t="n"/>
      <c r="C29" s="6" t="n"/>
      <c r="D29" s="6">
        <f>IF(C29="","",IFERROR(VLOOKUP(C29,Lists!$C:$D,2,FALSE),""))</f>
        <v/>
      </c>
      <c r="E29" s="6" t="n"/>
      <c r="F29" s="6" t="n"/>
      <c r="G29" s="7">
        <f>IF(A29="","",A29+(7-WEEKDAY(A29,2)))</f>
        <v/>
      </c>
      <c r="H29" s="6">
        <f>IF(OR(A29="",B29=""),"",SUMIFS($E$2:$E$1001,$A$2:$A$1001,A29,$B$2:$B$1001,B29))</f>
        <v/>
      </c>
    </row>
    <row r="30">
      <c r="A30" s="7" t="n"/>
      <c r="B30" s="6" t="n"/>
      <c r="C30" s="6" t="n"/>
      <c r="D30" s="6">
        <f>IF(C30="","",IFERROR(VLOOKUP(C30,Lists!$C:$D,2,FALSE),""))</f>
        <v/>
      </c>
      <c r="E30" s="6" t="n"/>
      <c r="F30" s="6" t="n"/>
      <c r="G30" s="7">
        <f>IF(A30="","",A30+(7-WEEKDAY(A30,2)))</f>
        <v/>
      </c>
      <c r="H30" s="6">
        <f>IF(OR(A30="",B30=""),"",SUMIFS($E$2:$E$1001,$A$2:$A$1001,A30,$B$2:$B$1001,B30))</f>
        <v/>
      </c>
    </row>
    <row r="31">
      <c r="A31" s="7" t="n"/>
      <c r="B31" s="6" t="n"/>
      <c r="C31" s="6" t="n"/>
      <c r="D31" s="6">
        <f>IF(C31="","",IFERROR(VLOOKUP(C31,Lists!$C:$D,2,FALSE),""))</f>
        <v/>
      </c>
      <c r="E31" s="6" t="n"/>
      <c r="F31" s="6" t="n"/>
      <c r="G31" s="7">
        <f>IF(A31="","",A31+(7-WEEKDAY(A31,2)))</f>
        <v/>
      </c>
      <c r="H31" s="6">
        <f>IF(OR(A31="",B31=""),"",SUMIFS($E$2:$E$1001,$A$2:$A$1001,A31,$B$2:$B$1001,B31))</f>
        <v/>
      </c>
    </row>
    <row r="32">
      <c r="A32" s="7" t="n"/>
      <c r="B32" s="6" t="n"/>
      <c r="C32" s="6" t="n"/>
      <c r="D32" s="6">
        <f>IF(C32="","",IFERROR(VLOOKUP(C32,Lists!$C:$D,2,FALSE),""))</f>
        <v/>
      </c>
      <c r="E32" s="6" t="n"/>
      <c r="F32" s="6" t="n"/>
      <c r="G32" s="7">
        <f>IF(A32="","",A32+(7-WEEKDAY(A32,2)))</f>
        <v/>
      </c>
      <c r="H32" s="6">
        <f>IF(OR(A32="",B32=""),"",SUMIFS($E$2:$E$1001,$A$2:$A$1001,A32,$B$2:$B$1001,B32))</f>
        <v/>
      </c>
    </row>
    <row r="33">
      <c r="A33" s="7" t="n"/>
      <c r="B33" s="6" t="n"/>
      <c r="C33" s="6" t="n"/>
      <c r="D33" s="6">
        <f>IF(C33="","",IFERROR(VLOOKUP(C33,Lists!$C:$D,2,FALSE),""))</f>
        <v/>
      </c>
      <c r="E33" s="6" t="n"/>
      <c r="F33" s="6" t="n"/>
      <c r="G33" s="7">
        <f>IF(A33="","",A33+(7-WEEKDAY(A33,2)))</f>
        <v/>
      </c>
      <c r="H33" s="6">
        <f>IF(OR(A33="",B33=""),"",SUMIFS($E$2:$E$1001,$A$2:$A$1001,A33,$B$2:$B$1001,B33))</f>
        <v/>
      </c>
    </row>
    <row r="34">
      <c r="A34" s="7" t="n"/>
      <c r="B34" s="6" t="n"/>
      <c r="C34" s="6" t="n"/>
      <c r="D34" s="6">
        <f>IF(C34="","",IFERROR(VLOOKUP(C34,Lists!$C:$D,2,FALSE),""))</f>
        <v/>
      </c>
      <c r="E34" s="6" t="n"/>
      <c r="F34" s="6" t="n"/>
      <c r="G34" s="7">
        <f>IF(A34="","",A34+(7-WEEKDAY(A34,2)))</f>
        <v/>
      </c>
      <c r="H34" s="6">
        <f>IF(OR(A34="",B34=""),"",SUMIFS($E$2:$E$1001,$A$2:$A$1001,A34,$B$2:$B$1001,B34))</f>
        <v/>
      </c>
    </row>
    <row r="35">
      <c r="A35" s="7" t="n"/>
      <c r="B35" s="6" t="n"/>
      <c r="C35" s="6" t="n"/>
      <c r="D35" s="6">
        <f>IF(C35="","",IFERROR(VLOOKUP(C35,Lists!$C:$D,2,FALSE),""))</f>
        <v/>
      </c>
      <c r="E35" s="6" t="n"/>
      <c r="F35" s="6" t="n"/>
      <c r="G35" s="7">
        <f>IF(A35="","",A35+(7-WEEKDAY(A35,2)))</f>
        <v/>
      </c>
      <c r="H35" s="6">
        <f>IF(OR(A35="",B35=""),"",SUMIFS($E$2:$E$1001,$A$2:$A$1001,A35,$B$2:$B$1001,B35))</f>
        <v/>
      </c>
    </row>
    <row r="36">
      <c r="A36" s="7" t="n"/>
      <c r="B36" s="6" t="n"/>
      <c r="C36" s="6" t="n"/>
      <c r="D36" s="6">
        <f>IF(C36="","",IFERROR(VLOOKUP(C36,Lists!$C:$D,2,FALSE),""))</f>
        <v/>
      </c>
      <c r="E36" s="6" t="n"/>
      <c r="F36" s="6" t="n"/>
      <c r="G36" s="7">
        <f>IF(A36="","",A36+(7-WEEKDAY(A36,2)))</f>
        <v/>
      </c>
      <c r="H36" s="6">
        <f>IF(OR(A36="",B36=""),"",SUMIFS($E$2:$E$1001,$A$2:$A$1001,A36,$B$2:$B$1001,B36))</f>
        <v/>
      </c>
    </row>
    <row r="37">
      <c r="A37" s="7" t="n"/>
      <c r="B37" s="6" t="n"/>
      <c r="C37" s="6" t="n"/>
      <c r="D37" s="6">
        <f>IF(C37="","",IFERROR(VLOOKUP(C37,Lists!$C:$D,2,FALSE),""))</f>
        <v/>
      </c>
      <c r="E37" s="6" t="n"/>
      <c r="F37" s="6" t="n"/>
      <c r="G37" s="7">
        <f>IF(A37="","",A37+(7-WEEKDAY(A37,2)))</f>
        <v/>
      </c>
      <c r="H37" s="6">
        <f>IF(OR(A37="",B37=""),"",SUMIFS($E$2:$E$1001,$A$2:$A$1001,A37,$B$2:$B$1001,B37))</f>
        <v/>
      </c>
    </row>
    <row r="38">
      <c r="A38" s="7" t="n"/>
      <c r="B38" s="6" t="n"/>
      <c r="C38" s="6" t="n"/>
      <c r="D38" s="6">
        <f>IF(C38="","",IFERROR(VLOOKUP(C38,Lists!$C:$D,2,FALSE),""))</f>
        <v/>
      </c>
      <c r="E38" s="6" t="n"/>
      <c r="F38" s="6" t="n"/>
      <c r="G38" s="7">
        <f>IF(A38="","",A38+(7-WEEKDAY(A38,2)))</f>
        <v/>
      </c>
      <c r="H38" s="6">
        <f>IF(OR(A38="",B38=""),"",SUMIFS($E$2:$E$1001,$A$2:$A$1001,A38,$B$2:$B$1001,B38))</f>
        <v/>
      </c>
    </row>
    <row r="39">
      <c r="A39" s="7" t="n"/>
      <c r="B39" s="6" t="n"/>
      <c r="C39" s="6" t="n"/>
      <c r="D39" s="6">
        <f>IF(C39="","",IFERROR(VLOOKUP(C39,Lists!$C:$D,2,FALSE),""))</f>
        <v/>
      </c>
      <c r="E39" s="6" t="n"/>
      <c r="F39" s="6" t="n"/>
      <c r="G39" s="7">
        <f>IF(A39="","",A39+(7-WEEKDAY(A39,2)))</f>
        <v/>
      </c>
      <c r="H39" s="6">
        <f>IF(OR(A39="",B39=""),"",SUMIFS($E$2:$E$1001,$A$2:$A$1001,A39,$B$2:$B$1001,B39))</f>
        <v/>
      </c>
    </row>
    <row r="40">
      <c r="A40" s="7" t="n"/>
      <c r="B40" s="6" t="n"/>
      <c r="C40" s="6" t="n"/>
      <c r="D40" s="6">
        <f>IF(C40="","",IFERROR(VLOOKUP(C40,Lists!$C:$D,2,FALSE),""))</f>
        <v/>
      </c>
      <c r="E40" s="6" t="n"/>
      <c r="F40" s="6" t="n"/>
      <c r="G40" s="7">
        <f>IF(A40="","",A40+(7-WEEKDAY(A40,2)))</f>
        <v/>
      </c>
      <c r="H40" s="6">
        <f>IF(OR(A40="",B40=""),"",SUMIFS($E$2:$E$1001,$A$2:$A$1001,A40,$B$2:$B$1001,B40))</f>
        <v/>
      </c>
    </row>
    <row r="41">
      <c r="A41" s="7" t="n"/>
      <c r="B41" s="6" t="n"/>
      <c r="C41" s="6" t="n"/>
      <c r="D41" s="6">
        <f>IF(C41="","",IFERROR(VLOOKUP(C41,Lists!$C:$D,2,FALSE),""))</f>
        <v/>
      </c>
      <c r="E41" s="6" t="n"/>
      <c r="F41" s="6" t="n"/>
      <c r="G41" s="7">
        <f>IF(A41="","",A41+(7-WEEKDAY(A41,2)))</f>
        <v/>
      </c>
      <c r="H41" s="6">
        <f>IF(OR(A41="",B41=""),"",SUMIFS($E$2:$E$1001,$A$2:$A$1001,A41,$B$2:$B$1001,B41))</f>
        <v/>
      </c>
    </row>
    <row r="42">
      <c r="A42" s="7" t="n"/>
      <c r="B42" s="6" t="n"/>
      <c r="C42" s="6" t="n"/>
      <c r="D42" s="6">
        <f>IF(C42="","",IFERROR(VLOOKUP(C42,Lists!$C:$D,2,FALSE),""))</f>
        <v/>
      </c>
      <c r="E42" s="6" t="n"/>
      <c r="F42" s="6" t="n"/>
      <c r="G42" s="7">
        <f>IF(A42="","",A42+(7-WEEKDAY(A42,2)))</f>
        <v/>
      </c>
      <c r="H42" s="6">
        <f>IF(OR(A42="",B42=""),"",SUMIFS($E$2:$E$1001,$A$2:$A$1001,A42,$B$2:$B$1001,B42))</f>
        <v/>
      </c>
    </row>
    <row r="43">
      <c r="A43" s="7" t="n"/>
      <c r="B43" s="6" t="n"/>
      <c r="C43" s="6" t="n"/>
      <c r="D43" s="6">
        <f>IF(C43="","",IFERROR(VLOOKUP(C43,Lists!$C:$D,2,FALSE),""))</f>
        <v/>
      </c>
      <c r="E43" s="6" t="n"/>
      <c r="F43" s="6" t="n"/>
      <c r="G43" s="7">
        <f>IF(A43="","",A43+(7-WEEKDAY(A43,2)))</f>
        <v/>
      </c>
      <c r="H43" s="6">
        <f>IF(OR(A43="",B43=""),"",SUMIFS($E$2:$E$1001,$A$2:$A$1001,A43,$B$2:$B$1001,B43))</f>
        <v/>
      </c>
    </row>
    <row r="44">
      <c r="A44" s="7" t="n"/>
      <c r="B44" s="6" t="n"/>
      <c r="C44" s="6" t="n"/>
      <c r="D44" s="6">
        <f>IF(C44="","",IFERROR(VLOOKUP(C44,Lists!$C:$D,2,FALSE),""))</f>
        <v/>
      </c>
      <c r="E44" s="6" t="n"/>
      <c r="F44" s="6" t="n"/>
      <c r="G44" s="7">
        <f>IF(A44="","",A44+(7-WEEKDAY(A44,2)))</f>
        <v/>
      </c>
      <c r="H44" s="6">
        <f>IF(OR(A44="",B44=""),"",SUMIFS($E$2:$E$1001,$A$2:$A$1001,A44,$B$2:$B$1001,B44))</f>
        <v/>
      </c>
    </row>
    <row r="45">
      <c r="A45" s="7" t="n"/>
      <c r="B45" s="6" t="n"/>
      <c r="C45" s="6" t="n"/>
      <c r="D45" s="6">
        <f>IF(C45="","",IFERROR(VLOOKUP(C45,Lists!$C:$D,2,FALSE),""))</f>
        <v/>
      </c>
      <c r="E45" s="6" t="n"/>
      <c r="F45" s="6" t="n"/>
      <c r="G45" s="7">
        <f>IF(A45="","",A45+(7-WEEKDAY(A45,2)))</f>
        <v/>
      </c>
      <c r="H45" s="6">
        <f>IF(OR(A45="",B45=""),"",SUMIFS($E$2:$E$1001,$A$2:$A$1001,A45,$B$2:$B$1001,B45))</f>
        <v/>
      </c>
    </row>
    <row r="46">
      <c r="A46" s="7" t="n"/>
      <c r="B46" s="6" t="n"/>
      <c r="C46" s="6" t="n"/>
      <c r="D46" s="6">
        <f>IF(C46="","",IFERROR(VLOOKUP(C46,Lists!$C:$D,2,FALSE),""))</f>
        <v/>
      </c>
      <c r="E46" s="6" t="n"/>
      <c r="F46" s="6" t="n"/>
      <c r="G46" s="7">
        <f>IF(A46="","",A46+(7-WEEKDAY(A46,2)))</f>
        <v/>
      </c>
      <c r="H46" s="6">
        <f>IF(OR(A46="",B46=""),"",SUMIFS($E$2:$E$1001,$A$2:$A$1001,A46,$B$2:$B$1001,B46))</f>
        <v/>
      </c>
    </row>
    <row r="47">
      <c r="A47" s="7" t="n"/>
      <c r="B47" s="6" t="n"/>
      <c r="C47" s="6" t="n"/>
      <c r="D47" s="6">
        <f>IF(C47="","",IFERROR(VLOOKUP(C47,Lists!$C:$D,2,FALSE),""))</f>
        <v/>
      </c>
      <c r="E47" s="6" t="n"/>
      <c r="F47" s="6" t="n"/>
      <c r="G47" s="7">
        <f>IF(A47="","",A47+(7-WEEKDAY(A47,2)))</f>
        <v/>
      </c>
      <c r="H47" s="6">
        <f>IF(OR(A47="",B47=""),"",SUMIFS($E$2:$E$1001,$A$2:$A$1001,A47,$B$2:$B$1001,B47))</f>
        <v/>
      </c>
    </row>
    <row r="48">
      <c r="A48" s="7" t="n"/>
      <c r="B48" s="6" t="n"/>
      <c r="C48" s="6" t="n"/>
      <c r="D48" s="6">
        <f>IF(C48="","",IFERROR(VLOOKUP(C48,Lists!$C:$D,2,FALSE),""))</f>
        <v/>
      </c>
      <c r="E48" s="6" t="n"/>
      <c r="F48" s="6" t="n"/>
      <c r="G48" s="7">
        <f>IF(A48="","",A48+(7-WEEKDAY(A48,2)))</f>
        <v/>
      </c>
      <c r="H48" s="6">
        <f>IF(OR(A48="",B48=""),"",SUMIFS($E$2:$E$1001,$A$2:$A$1001,A48,$B$2:$B$1001,B48))</f>
        <v/>
      </c>
    </row>
    <row r="49">
      <c r="A49" s="7" t="n"/>
      <c r="B49" s="6" t="n"/>
      <c r="C49" s="6" t="n"/>
      <c r="D49" s="6">
        <f>IF(C49="","",IFERROR(VLOOKUP(C49,Lists!$C:$D,2,FALSE),""))</f>
        <v/>
      </c>
      <c r="E49" s="6" t="n"/>
      <c r="F49" s="6" t="n"/>
      <c r="G49" s="7">
        <f>IF(A49="","",A49+(7-WEEKDAY(A49,2)))</f>
        <v/>
      </c>
      <c r="H49" s="6">
        <f>IF(OR(A49="",B49=""),"",SUMIFS($E$2:$E$1001,$A$2:$A$1001,A49,$B$2:$B$1001,B49))</f>
        <v/>
      </c>
    </row>
    <row r="50">
      <c r="A50" s="7" t="n"/>
      <c r="B50" s="6" t="n"/>
      <c r="C50" s="6" t="n"/>
      <c r="D50" s="6">
        <f>IF(C50="","",IFERROR(VLOOKUP(C50,Lists!$C:$D,2,FALSE),""))</f>
        <v/>
      </c>
      <c r="E50" s="6" t="n"/>
      <c r="F50" s="6" t="n"/>
      <c r="G50" s="7">
        <f>IF(A50="","",A50+(7-WEEKDAY(A50,2)))</f>
        <v/>
      </c>
      <c r="H50" s="6">
        <f>IF(OR(A50="",B50=""),"",SUMIFS($E$2:$E$1001,$A$2:$A$1001,A50,$B$2:$B$1001,B50))</f>
        <v/>
      </c>
    </row>
    <row r="51">
      <c r="A51" s="7" t="n"/>
      <c r="B51" s="6" t="n"/>
      <c r="C51" s="6" t="n"/>
      <c r="D51" s="6">
        <f>IF(C51="","",IFERROR(VLOOKUP(C51,Lists!$C:$D,2,FALSE),""))</f>
        <v/>
      </c>
      <c r="E51" s="6" t="n"/>
      <c r="F51" s="6" t="n"/>
      <c r="G51" s="7">
        <f>IF(A51="","",A51+(7-WEEKDAY(A51,2)))</f>
        <v/>
      </c>
      <c r="H51" s="6">
        <f>IF(OR(A51="",B51=""),"",SUMIFS($E$2:$E$1001,$A$2:$A$1001,A51,$B$2:$B$1001,B51))</f>
        <v/>
      </c>
    </row>
    <row r="52">
      <c r="A52" s="7" t="n"/>
      <c r="B52" s="6" t="n"/>
      <c r="C52" s="6" t="n"/>
      <c r="D52" s="6">
        <f>IF(C52="","",IFERROR(VLOOKUP(C52,Lists!$C:$D,2,FALSE),""))</f>
        <v/>
      </c>
      <c r="E52" s="6" t="n"/>
      <c r="F52" s="6" t="n"/>
      <c r="G52" s="7">
        <f>IF(A52="","",A52+(7-WEEKDAY(A52,2)))</f>
        <v/>
      </c>
      <c r="H52" s="6">
        <f>IF(OR(A52="",B52=""),"",SUMIFS($E$2:$E$1001,$A$2:$A$1001,A52,$B$2:$B$1001,B52))</f>
        <v/>
      </c>
    </row>
    <row r="53">
      <c r="A53" s="7" t="n"/>
      <c r="B53" s="6" t="n"/>
      <c r="C53" s="6" t="n"/>
      <c r="D53" s="6">
        <f>IF(C53="","",IFERROR(VLOOKUP(C53,Lists!$C:$D,2,FALSE),""))</f>
        <v/>
      </c>
      <c r="E53" s="6" t="n"/>
      <c r="F53" s="6" t="n"/>
      <c r="G53" s="7">
        <f>IF(A53="","",A53+(7-WEEKDAY(A53,2)))</f>
        <v/>
      </c>
      <c r="H53" s="6">
        <f>IF(OR(A53="",B53=""),"",SUMIFS($E$2:$E$1001,$A$2:$A$1001,A53,$B$2:$B$1001,B53))</f>
        <v/>
      </c>
    </row>
    <row r="54">
      <c r="A54" s="7" t="n"/>
      <c r="B54" s="6" t="n"/>
      <c r="C54" s="6" t="n"/>
      <c r="D54" s="6">
        <f>IF(C54="","",IFERROR(VLOOKUP(C54,Lists!$C:$D,2,FALSE),""))</f>
        <v/>
      </c>
      <c r="E54" s="6" t="n"/>
      <c r="F54" s="6" t="n"/>
      <c r="G54" s="7">
        <f>IF(A54="","",A54+(7-WEEKDAY(A54,2)))</f>
        <v/>
      </c>
      <c r="H54" s="6">
        <f>IF(OR(A54="",B54=""),"",SUMIFS($E$2:$E$1001,$A$2:$A$1001,A54,$B$2:$B$1001,B54))</f>
        <v/>
      </c>
    </row>
    <row r="55">
      <c r="A55" s="7" t="n"/>
      <c r="B55" s="6" t="n"/>
      <c r="C55" s="6" t="n"/>
      <c r="D55" s="6">
        <f>IF(C55="","",IFERROR(VLOOKUP(C55,Lists!$C:$D,2,FALSE),""))</f>
        <v/>
      </c>
      <c r="E55" s="6" t="n"/>
      <c r="F55" s="6" t="n"/>
      <c r="G55" s="7">
        <f>IF(A55="","",A55+(7-WEEKDAY(A55,2)))</f>
        <v/>
      </c>
      <c r="H55" s="6">
        <f>IF(OR(A55="",B55=""),"",SUMIFS($E$2:$E$1001,$A$2:$A$1001,A55,$B$2:$B$1001,B55))</f>
        <v/>
      </c>
    </row>
    <row r="56">
      <c r="A56" s="7" t="n"/>
      <c r="B56" s="6" t="n"/>
      <c r="C56" s="6" t="n"/>
      <c r="D56" s="6">
        <f>IF(C56="","",IFERROR(VLOOKUP(C56,Lists!$C:$D,2,FALSE),""))</f>
        <v/>
      </c>
      <c r="E56" s="6" t="n"/>
      <c r="F56" s="6" t="n"/>
      <c r="G56" s="7">
        <f>IF(A56="","",A56+(7-WEEKDAY(A56,2)))</f>
        <v/>
      </c>
      <c r="H56" s="6">
        <f>IF(OR(A56="",B56=""),"",SUMIFS($E$2:$E$1001,$A$2:$A$1001,A56,$B$2:$B$1001,B56))</f>
        <v/>
      </c>
    </row>
    <row r="57">
      <c r="A57" s="7" t="n"/>
      <c r="B57" s="6" t="n"/>
      <c r="C57" s="6" t="n"/>
      <c r="D57" s="6">
        <f>IF(C57="","",IFERROR(VLOOKUP(C57,Lists!$C:$D,2,FALSE),""))</f>
        <v/>
      </c>
      <c r="E57" s="6" t="n"/>
      <c r="F57" s="6" t="n"/>
      <c r="G57" s="7">
        <f>IF(A57="","",A57+(7-WEEKDAY(A57,2)))</f>
        <v/>
      </c>
      <c r="H57" s="6">
        <f>IF(OR(A57="",B57=""),"",SUMIFS($E$2:$E$1001,$A$2:$A$1001,A57,$B$2:$B$1001,B57))</f>
        <v/>
      </c>
    </row>
    <row r="58">
      <c r="A58" s="7" t="n"/>
      <c r="B58" s="6" t="n"/>
      <c r="C58" s="6" t="n"/>
      <c r="D58" s="6">
        <f>IF(C58="","",IFERROR(VLOOKUP(C58,Lists!$C:$D,2,FALSE),""))</f>
        <v/>
      </c>
      <c r="E58" s="6" t="n"/>
      <c r="F58" s="6" t="n"/>
      <c r="G58" s="7">
        <f>IF(A58="","",A58+(7-WEEKDAY(A58,2)))</f>
        <v/>
      </c>
      <c r="H58" s="6">
        <f>IF(OR(A58="",B58=""),"",SUMIFS($E$2:$E$1001,$A$2:$A$1001,A58,$B$2:$B$1001,B58))</f>
        <v/>
      </c>
    </row>
    <row r="59">
      <c r="A59" s="7" t="n"/>
      <c r="B59" s="6" t="n"/>
      <c r="C59" s="6" t="n"/>
      <c r="D59" s="6">
        <f>IF(C59="","",IFERROR(VLOOKUP(C59,Lists!$C:$D,2,FALSE),""))</f>
        <v/>
      </c>
      <c r="E59" s="6" t="n"/>
      <c r="F59" s="6" t="n"/>
      <c r="G59" s="7">
        <f>IF(A59="","",A59+(7-WEEKDAY(A59,2)))</f>
        <v/>
      </c>
      <c r="H59" s="6">
        <f>IF(OR(A59="",B59=""),"",SUMIFS($E$2:$E$1001,$A$2:$A$1001,A59,$B$2:$B$1001,B59))</f>
        <v/>
      </c>
    </row>
    <row r="60">
      <c r="A60" s="7" t="n"/>
      <c r="B60" s="6" t="n"/>
      <c r="C60" s="6" t="n"/>
      <c r="D60" s="6">
        <f>IF(C60="","",IFERROR(VLOOKUP(C60,Lists!$C:$D,2,FALSE),""))</f>
        <v/>
      </c>
      <c r="E60" s="6" t="n"/>
      <c r="F60" s="6" t="n"/>
      <c r="G60" s="7">
        <f>IF(A60="","",A60+(7-WEEKDAY(A60,2)))</f>
        <v/>
      </c>
      <c r="H60" s="6">
        <f>IF(OR(A60="",B60=""),"",SUMIFS($E$2:$E$1001,$A$2:$A$1001,A60,$B$2:$B$1001,B60))</f>
        <v/>
      </c>
    </row>
    <row r="61">
      <c r="A61" s="7" t="n"/>
      <c r="B61" s="6" t="n"/>
      <c r="C61" s="6" t="n"/>
      <c r="D61" s="6">
        <f>IF(C61="","",IFERROR(VLOOKUP(C61,Lists!$C:$D,2,FALSE),""))</f>
        <v/>
      </c>
      <c r="E61" s="6" t="n"/>
      <c r="F61" s="6" t="n"/>
      <c r="G61" s="7">
        <f>IF(A61="","",A61+(7-WEEKDAY(A61,2)))</f>
        <v/>
      </c>
      <c r="H61" s="6">
        <f>IF(OR(A61="",B61=""),"",SUMIFS($E$2:$E$1001,$A$2:$A$1001,A61,$B$2:$B$1001,B61))</f>
        <v/>
      </c>
    </row>
    <row r="62">
      <c r="A62" s="7" t="n"/>
      <c r="B62" s="6" t="n"/>
      <c r="C62" s="6" t="n"/>
      <c r="D62" s="6">
        <f>IF(C62="","",IFERROR(VLOOKUP(C62,Lists!$C:$D,2,FALSE),""))</f>
        <v/>
      </c>
      <c r="E62" s="6" t="n"/>
      <c r="F62" s="6" t="n"/>
      <c r="G62" s="7">
        <f>IF(A62="","",A62+(7-WEEKDAY(A62,2)))</f>
        <v/>
      </c>
      <c r="H62" s="6">
        <f>IF(OR(A62="",B62=""),"",SUMIFS($E$2:$E$1001,$A$2:$A$1001,A62,$B$2:$B$1001,B62))</f>
        <v/>
      </c>
    </row>
    <row r="63">
      <c r="A63" s="7" t="n"/>
      <c r="B63" s="6" t="n"/>
      <c r="C63" s="6" t="n"/>
      <c r="D63" s="6">
        <f>IF(C63="","",IFERROR(VLOOKUP(C63,Lists!$C:$D,2,FALSE),""))</f>
        <v/>
      </c>
      <c r="E63" s="6" t="n"/>
      <c r="F63" s="6" t="n"/>
      <c r="G63" s="7">
        <f>IF(A63="","",A63+(7-WEEKDAY(A63,2)))</f>
        <v/>
      </c>
      <c r="H63" s="6">
        <f>IF(OR(A63="",B63=""),"",SUMIFS($E$2:$E$1001,$A$2:$A$1001,A63,$B$2:$B$1001,B63))</f>
        <v/>
      </c>
    </row>
    <row r="64">
      <c r="A64" s="7" t="n"/>
      <c r="B64" s="6" t="n"/>
      <c r="C64" s="6" t="n"/>
      <c r="D64" s="6">
        <f>IF(C64="","",IFERROR(VLOOKUP(C64,Lists!$C:$D,2,FALSE),""))</f>
        <v/>
      </c>
      <c r="E64" s="6" t="n"/>
      <c r="F64" s="6" t="n"/>
      <c r="G64" s="7">
        <f>IF(A64="","",A64+(7-WEEKDAY(A64,2)))</f>
        <v/>
      </c>
      <c r="H64" s="6">
        <f>IF(OR(A64="",B64=""),"",SUMIFS($E$2:$E$1001,$A$2:$A$1001,A64,$B$2:$B$1001,B64))</f>
        <v/>
      </c>
    </row>
    <row r="65">
      <c r="A65" s="7" t="n"/>
      <c r="B65" s="6" t="n"/>
      <c r="C65" s="6" t="n"/>
      <c r="D65" s="6">
        <f>IF(C65="","",IFERROR(VLOOKUP(C65,Lists!$C:$D,2,FALSE),""))</f>
        <v/>
      </c>
      <c r="E65" s="6" t="n"/>
      <c r="F65" s="6" t="n"/>
      <c r="G65" s="7">
        <f>IF(A65="","",A65+(7-WEEKDAY(A65,2)))</f>
        <v/>
      </c>
      <c r="H65" s="6">
        <f>IF(OR(A65="",B65=""),"",SUMIFS($E$2:$E$1001,$A$2:$A$1001,A65,$B$2:$B$1001,B65))</f>
        <v/>
      </c>
    </row>
    <row r="66">
      <c r="A66" s="7" t="n"/>
      <c r="B66" s="6" t="n"/>
      <c r="C66" s="6" t="n"/>
      <c r="D66" s="6">
        <f>IF(C66="","",IFERROR(VLOOKUP(C66,Lists!$C:$D,2,FALSE),""))</f>
        <v/>
      </c>
      <c r="E66" s="6" t="n"/>
      <c r="F66" s="6" t="n"/>
      <c r="G66" s="7">
        <f>IF(A66="","",A66+(7-WEEKDAY(A66,2)))</f>
        <v/>
      </c>
      <c r="H66" s="6">
        <f>IF(OR(A66="",B66=""),"",SUMIFS($E$2:$E$1001,$A$2:$A$1001,A66,$B$2:$B$1001,B66))</f>
        <v/>
      </c>
    </row>
    <row r="67">
      <c r="A67" s="7" t="n"/>
      <c r="B67" s="6" t="n"/>
      <c r="C67" s="6" t="n"/>
      <c r="D67" s="6">
        <f>IF(C67="","",IFERROR(VLOOKUP(C67,Lists!$C:$D,2,FALSE),""))</f>
        <v/>
      </c>
      <c r="E67" s="6" t="n"/>
      <c r="F67" s="6" t="n"/>
      <c r="G67" s="7">
        <f>IF(A67="","",A67+(7-WEEKDAY(A67,2)))</f>
        <v/>
      </c>
      <c r="H67" s="6">
        <f>IF(OR(A67="",B67=""),"",SUMIFS($E$2:$E$1001,$A$2:$A$1001,A67,$B$2:$B$1001,B67))</f>
        <v/>
      </c>
    </row>
    <row r="68">
      <c r="A68" s="7" t="n"/>
      <c r="B68" s="6" t="n"/>
      <c r="C68" s="6" t="n"/>
      <c r="D68" s="6">
        <f>IF(C68="","",IFERROR(VLOOKUP(C68,Lists!$C:$D,2,FALSE),""))</f>
        <v/>
      </c>
      <c r="E68" s="6" t="n"/>
      <c r="F68" s="6" t="n"/>
      <c r="G68" s="7">
        <f>IF(A68="","",A68+(7-WEEKDAY(A68,2)))</f>
        <v/>
      </c>
      <c r="H68" s="6">
        <f>IF(OR(A68="",B68=""),"",SUMIFS($E$2:$E$1001,$A$2:$A$1001,A68,$B$2:$B$1001,B68))</f>
        <v/>
      </c>
    </row>
    <row r="69">
      <c r="A69" s="7" t="n"/>
      <c r="B69" s="6" t="n"/>
      <c r="C69" s="6" t="n"/>
      <c r="D69" s="6">
        <f>IF(C69="","",IFERROR(VLOOKUP(C69,Lists!$C:$D,2,FALSE),""))</f>
        <v/>
      </c>
      <c r="E69" s="6" t="n"/>
      <c r="F69" s="6" t="n"/>
      <c r="G69" s="7">
        <f>IF(A69="","",A69+(7-WEEKDAY(A69,2)))</f>
        <v/>
      </c>
      <c r="H69" s="6">
        <f>IF(OR(A69="",B69=""),"",SUMIFS($E$2:$E$1001,$A$2:$A$1001,A69,$B$2:$B$1001,B69))</f>
        <v/>
      </c>
    </row>
    <row r="70">
      <c r="A70" s="7" t="n"/>
      <c r="B70" s="6" t="n"/>
      <c r="C70" s="6" t="n"/>
      <c r="D70" s="6">
        <f>IF(C70="","",IFERROR(VLOOKUP(C70,Lists!$C:$D,2,FALSE),""))</f>
        <v/>
      </c>
      <c r="E70" s="6" t="n"/>
      <c r="F70" s="6" t="n"/>
      <c r="G70" s="7">
        <f>IF(A70="","",A70+(7-WEEKDAY(A70,2)))</f>
        <v/>
      </c>
      <c r="H70" s="6">
        <f>IF(OR(A70="",B70=""),"",SUMIFS($E$2:$E$1001,$A$2:$A$1001,A70,$B$2:$B$1001,B70))</f>
        <v/>
      </c>
    </row>
    <row r="71">
      <c r="A71" s="7" t="n"/>
      <c r="B71" s="6" t="n"/>
      <c r="C71" s="6" t="n"/>
      <c r="D71" s="6">
        <f>IF(C71="","",IFERROR(VLOOKUP(C71,Lists!$C:$D,2,FALSE),""))</f>
        <v/>
      </c>
      <c r="E71" s="6" t="n"/>
      <c r="F71" s="6" t="n"/>
      <c r="G71" s="7">
        <f>IF(A71="","",A71+(7-WEEKDAY(A71,2)))</f>
        <v/>
      </c>
      <c r="H71" s="6">
        <f>IF(OR(A71="",B71=""),"",SUMIFS($E$2:$E$1001,$A$2:$A$1001,A71,$B$2:$B$1001,B71))</f>
        <v/>
      </c>
    </row>
    <row r="72">
      <c r="A72" s="7" t="n"/>
      <c r="B72" s="6" t="n"/>
      <c r="C72" s="6" t="n"/>
      <c r="D72" s="6">
        <f>IF(C72="","",IFERROR(VLOOKUP(C72,Lists!$C:$D,2,FALSE),""))</f>
        <v/>
      </c>
      <c r="E72" s="6" t="n"/>
      <c r="F72" s="6" t="n"/>
      <c r="G72" s="7">
        <f>IF(A72="","",A72+(7-WEEKDAY(A72,2)))</f>
        <v/>
      </c>
      <c r="H72" s="6">
        <f>IF(OR(A72="",B72=""),"",SUMIFS($E$2:$E$1001,$A$2:$A$1001,A72,$B$2:$B$1001,B72))</f>
        <v/>
      </c>
    </row>
    <row r="73">
      <c r="A73" s="7" t="n"/>
      <c r="B73" s="6" t="n"/>
      <c r="C73" s="6" t="n"/>
      <c r="D73" s="6">
        <f>IF(C73="","",IFERROR(VLOOKUP(C73,Lists!$C:$D,2,FALSE),""))</f>
        <v/>
      </c>
      <c r="E73" s="6" t="n"/>
      <c r="F73" s="6" t="n"/>
      <c r="G73" s="7">
        <f>IF(A73="","",A73+(7-WEEKDAY(A73,2)))</f>
        <v/>
      </c>
      <c r="H73" s="6">
        <f>IF(OR(A73="",B73=""),"",SUMIFS($E$2:$E$1001,$A$2:$A$1001,A73,$B$2:$B$1001,B73))</f>
        <v/>
      </c>
    </row>
    <row r="74">
      <c r="A74" s="7" t="n"/>
      <c r="B74" s="6" t="n"/>
      <c r="C74" s="6" t="n"/>
      <c r="D74" s="6">
        <f>IF(C74="","",IFERROR(VLOOKUP(C74,Lists!$C:$D,2,FALSE),""))</f>
        <v/>
      </c>
      <c r="E74" s="6" t="n"/>
      <c r="F74" s="6" t="n"/>
      <c r="G74" s="7">
        <f>IF(A74="","",A74+(7-WEEKDAY(A74,2)))</f>
        <v/>
      </c>
      <c r="H74" s="6">
        <f>IF(OR(A74="",B74=""),"",SUMIFS($E$2:$E$1001,$A$2:$A$1001,A74,$B$2:$B$1001,B74))</f>
        <v/>
      </c>
    </row>
    <row r="75">
      <c r="A75" s="7" t="n"/>
      <c r="B75" s="6" t="n"/>
      <c r="C75" s="6" t="n"/>
      <c r="D75" s="6">
        <f>IF(C75="","",IFERROR(VLOOKUP(C75,Lists!$C:$D,2,FALSE),""))</f>
        <v/>
      </c>
      <c r="E75" s="6" t="n"/>
      <c r="F75" s="6" t="n"/>
      <c r="G75" s="7">
        <f>IF(A75="","",A75+(7-WEEKDAY(A75,2)))</f>
        <v/>
      </c>
      <c r="H75" s="6">
        <f>IF(OR(A75="",B75=""),"",SUMIFS($E$2:$E$1001,$A$2:$A$1001,A75,$B$2:$B$1001,B75))</f>
        <v/>
      </c>
    </row>
    <row r="76">
      <c r="A76" s="7" t="n"/>
      <c r="B76" s="6" t="n"/>
      <c r="C76" s="6" t="n"/>
      <c r="D76" s="6">
        <f>IF(C76="","",IFERROR(VLOOKUP(C76,Lists!$C:$D,2,FALSE),""))</f>
        <v/>
      </c>
      <c r="E76" s="6" t="n"/>
      <c r="F76" s="6" t="n"/>
      <c r="G76" s="7">
        <f>IF(A76="","",A76+(7-WEEKDAY(A76,2)))</f>
        <v/>
      </c>
      <c r="H76" s="6">
        <f>IF(OR(A76="",B76=""),"",SUMIFS($E$2:$E$1001,$A$2:$A$1001,A76,$B$2:$B$1001,B76))</f>
        <v/>
      </c>
    </row>
    <row r="77">
      <c r="A77" s="7" t="n"/>
      <c r="B77" s="6" t="n"/>
      <c r="C77" s="6" t="n"/>
      <c r="D77" s="6">
        <f>IF(C77="","",IFERROR(VLOOKUP(C77,Lists!$C:$D,2,FALSE),""))</f>
        <v/>
      </c>
      <c r="E77" s="6" t="n"/>
      <c r="F77" s="6" t="n"/>
      <c r="G77" s="7">
        <f>IF(A77="","",A77+(7-WEEKDAY(A77,2)))</f>
        <v/>
      </c>
      <c r="H77" s="6">
        <f>IF(OR(A77="",B77=""),"",SUMIFS($E$2:$E$1001,$A$2:$A$1001,A77,$B$2:$B$1001,B77))</f>
        <v/>
      </c>
    </row>
    <row r="78">
      <c r="A78" s="7" t="n"/>
      <c r="B78" s="6" t="n"/>
      <c r="C78" s="6" t="n"/>
      <c r="D78" s="6">
        <f>IF(C78="","",IFERROR(VLOOKUP(C78,Lists!$C:$D,2,FALSE),""))</f>
        <v/>
      </c>
      <c r="E78" s="6" t="n"/>
      <c r="F78" s="6" t="n"/>
      <c r="G78" s="7">
        <f>IF(A78="","",A78+(7-WEEKDAY(A78,2)))</f>
        <v/>
      </c>
      <c r="H78" s="6">
        <f>IF(OR(A78="",B78=""),"",SUMIFS($E$2:$E$1001,$A$2:$A$1001,A78,$B$2:$B$1001,B78))</f>
        <v/>
      </c>
    </row>
    <row r="79">
      <c r="A79" s="7" t="n"/>
      <c r="B79" s="6" t="n"/>
      <c r="C79" s="6" t="n"/>
      <c r="D79" s="6">
        <f>IF(C79="","",IFERROR(VLOOKUP(C79,Lists!$C:$D,2,FALSE),""))</f>
        <v/>
      </c>
      <c r="E79" s="6" t="n"/>
      <c r="F79" s="6" t="n"/>
      <c r="G79" s="7">
        <f>IF(A79="","",A79+(7-WEEKDAY(A79,2)))</f>
        <v/>
      </c>
      <c r="H79" s="6">
        <f>IF(OR(A79="",B79=""),"",SUMIFS($E$2:$E$1001,$A$2:$A$1001,A79,$B$2:$B$1001,B79))</f>
        <v/>
      </c>
    </row>
    <row r="80">
      <c r="A80" s="7" t="n"/>
      <c r="B80" s="6" t="n"/>
      <c r="C80" s="6" t="n"/>
      <c r="D80" s="6">
        <f>IF(C80="","",IFERROR(VLOOKUP(C80,Lists!$C:$D,2,FALSE),""))</f>
        <v/>
      </c>
      <c r="E80" s="6" t="n"/>
      <c r="F80" s="6" t="n"/>
      <c r="G80" s="7">
        <f>IF(A80="","",A80+(7-WEEKDAY(A80,2)))</f>
        <v/>
      </c>
      <c r="H80" s="6">
        <f>IF(OR(A80="",B80=""),"",SUMIFS($E$2:$E$1001,$A$2:$A$1001,A80,$B$2:$B$1001,B80))</f>
        <v/>
      </c>
    </row>
    <row r="81">
      <c r="A81" s="7" t="n"/>
      <c r="B81" s="6" t="n"/>
      <c r="C81" s="6" t="n"/>
      <c r="D81" s="6">
        <f>IF(C81="","",IFERROR(VLOOKUP(C81,Lists!$C:$D,2,FALSE),""))</f>
        <v/>
      </c>
      <c r="E81" s="6" t="n"/>
      <c r="F81" s="6" t="n"/>
      <c r="G81" s="7">
        <f>IF(A81="","",A81+(7-WEEKDAY(A81,2)))</f>
        <v/>
      </c>
      <c r="H81" s="6">
        <f>IF(OR(A81="",B81=""),"",SUMIFS($E$2:$E$1001,$A$2:$A$1001,A81,$B$2:$B$1001,B81))</f>
        <v/>
      </c>
    </row>
    <row r="82">
      <c r="A82" s="7" t="n"/>
      <c r="B82" s="6" t="n"/>
      <c r="C82" s="6" t="n"/>
      <c r="D82" s="6">
        <f>IF(C82="","",IFERROR(VLOOKUP(C82,Lists!$C:$D,2,FALSE),""))</f>
        <v/>
      </c>
      <c r="E82" s="6" t="n"/>
      <c r="F82" s="6" t="n"/>
      <c r="G82" s="7">
        <f>IF(A82="","",A82+(7-WEEKDAY(A82,2)))</f>
        <v/>
      </c>
      <c r="H82" s="6">
        <f>IF(OR(A82="",B82=""),"",SUMIFS($E$2:$E$1001,$A$2:$A$1001,A82,$B$2:$B$1001,B82))</f>
        <v/>
      </c>
    </row>
    <row r="83">
      <c r="A83" s="7" t="n"/>
      <c r="B83" s="6" t="n"/>
      <c r="C83" s="6" t="n"/>
      <c r="D83" s="6">
        <f>IF(C83="","",IFERROR(VLOOKUP(C83,Lists!$C:$D,2,FALSE),""))</f>
        <v/>
      </c>
      <c r="E83" s="6" t="n"/>
      <c r="F83" s="6" t="n"/>
      <c r="G83" s="7">
        <f>IF(A83="","",A83+(7-WEEKDAY(A83,2)))</f>
        <v/>
      </c>
      <c r="H83" s="6">
        <f>IF(OR(A83="",B83=""),"",SUMIFS($E$2:$E$1001,$A$2:$A$1001,A83,$B$2:$B$1001,B83))</f>
        <v/>
      </c>
    </row>
    <row r="84">
      <c r="A84" s="7" t="n"/>
      <c r="B84" s="6" t="n"/>
      <c r="C84" s="6" t="n"/>
      <c r="D84" s="6">
        <f>IF(C84="","",IFERROR(VLOOKUP(C84,Lists!$C:$D,2,FALSE),""))</f>
        <v/>
      </c>
      <c r="E84" s="6" t="n"/>
      <c r="F84" s="6" t="n"/>
      <c r="G84" s="7">
        <f>IF(A84="","",A84+(7-WEEKDAY(A84,2)))</f>
        <v/>
      </c>
      <c r="H84" s="6">
        <f>IF(OR(A84="",B84=""),"",SUMIFS($E$2:$E$1001,$A$2:$A$1001,A84,$B$2:$B$1001,B84))</f>
        <v/>
      </c>
    </row>
    <row r="85">
      <c r="A85" s="7" t="n"/>
      <c r="B85" s="6" t="n"/>
      <c r="C85" s="6" t="n"/>
      <c r="D85" s="6">
        <f>IF(C85="","",IFERROR(VLOOKUP(C85,Lists!$C:$D,2,FALSE),""))</f>
        <v/>
      </c>
      <c r="E85" s="6" t="n"/>
      <c r="F85" s="6" t="n"/>
      <c r="G85" s="7">
        <f>IF(A85="","",A85+(7-WEEKDAY(A85,2)))</f>
        <v/>
      </c>
      <c r="H85" s="6">
        <f>IF(OR(A85="",B85=""),"",SUMIFS($E$2:$E$1001,$A$2:$A$1001,A85,$B$2:$B$1001,B85))</f>
        <v/>
      </c>
    </row>
    <row r="86">
      <c r="A86" s="7" t="n"/>
      <c r="B86" s="6" t="n"/>
      <c r="C86" s="6" t="n"/>
      <c r="D86" s="6">
        <f>IF(C86="","",IFERROR(VLOOKUP(C86,Lists!$C:$D,2,FALSE),""))</f>
        <v/>
      </c>
      <c r="E86" s="6" t="n"/>
      <c r="F86" s="6" t="n"/>
      <c r="G86" s="7">
        <f>IF(A86="","",A86+(7-WEEKDAY(A86,2)))</f>
        <v/>
      </c>
      <c r="H86" s="6">
        <f>IF(OR(A86="",B86=""),"",SUMIFS($E$2:$E$1001,$A$2:$A$1001,A86,$B$2:$B$1001,B86))</f>
        <v/>
      </c>
    </row>
    <row r="87">
      <c r="A87" s="7" t="n"/>
      <c r="B87" s="6" t="n"/>
      <c r="C87" s="6" t="n"/>
      <c r="D87" s="6">
        <f>IF(C87="","",IFERROR(VLOOKUP(C87,Lists!$C:$D,2,FALSE),""))</f>
        <v/>
      </c>
      <c r="E87" s="6" t="n"/>
      <c r="F87" s="6" t="n"/>
      <c r="G87" s="7">
        <f>IF(A87="","",A87+(7-WEEKDAY(A87,2)))</f>
        <v/>
      </c>
      <c r="H87" s="6">
        <f>IF(OR(A87="",B87=""),"",SUMIFS($E$2:$E$1001,$A$2:$A$1001,A87,$B$2:$B$1001,B87))</f>
        <v/>
      </c>
    </row>
    <row r="88">
      <c r="A88" s="7" t="n"/>
      <c r="B88" s="6" t="n"/>
      <c r="C88" s="6" t="n"/>
      <c r="D88" s="6">
        <f>IF(C88="","",IFERROR(VLOOKUP(C88,Lists!$C:$D,2,FALSE),""))</f>
        <v/>
      </c>
      <c r="E88" s="6" t="n"/>
      <c r="F88" s="6" t="n"/>
      <c r="G88" s="7">
        <f>IF(A88="","",A88+(7-WEEKDAY(A88,2)))</f>
        <v/>
      </c>
      <c r="H88" s="6">
        <f>IF(OR(A88="",B88=""),"",SUMIFS($E$2:$E$1001,$A$2:$A$1001,A88,$B$2:$B$1001,B88))</f>
        <v/>
      </c>
    </row>
    <row r="89">
      <c r="A89" s="7" t="n"/>
      <c r="B89" s="6" t="n"/>
      <c r="C89" s="6" t="n"/>
      <c r="D89" s="6">
        <f>IF(C89="","",IFERROR(VLOOKUP(C89,Lists!$C:$D,2,FALSE),""))</f>
        <v/>
      </c>
      <c r="E89" s="6" t="n"/>
      <c r="F89" s="6" t="n"/>
      <c r="G89" s="7">
        <f>IF(A89="","",A89+(7-WEEKDAY(A89,2)))</f>
        <v/>
      </c>
      <c r="H89" s="6">
        <f>IF(OR(A89="",B89=""),"",SUMIFS($E$2:$E$1001,$A$2:$A$1001,A89,$B$2:$B$1001,B89))</f>
        <v/>
      </c>
    </row>
    <row r="90">
      <c r="A90" s="7" t="n"/>
      <c r="B90" s="6" t="n"/>
      <c r="C90" s="6" t="n"/>
      <c r="D90" s="6">
        <f>IF(C90="","",IFERROR(VLOOKUP(C90,Lists!$C:$D,2,FALSE),""))</f>
        <v/>
      </c>
      <c r="E90" s="6" t="n"/>
      <c r="F90" s="6" t="n"/>
      <c r="G90" s="7">
        <f>IF(A90="","",A90+(7-WEEKDAY(A90,2)))</f>
        <v/>
      </c>
      <c r="H90" s="6">
        <f>IF(OR(A90="",B90=""),"",SUMIFS($E$2:$E$1001,$A$2:$A$1001,A90,$B$2:$B$1001,B90))</f>
        <v/>
      </c>
    </row>
    <row r="91">
      <c r="A91" s="7" t="n"/>
      <c r="B91" s="6" t="n"/>
      <c r="C91" s="6" t="n"/>
      <c r="D91" s="6">
        <f>IF(C91="","",IFERROR(VLOOKUP(C91,Lists!$C:$D,2,FALSE),""))</f>
        <v/>
      </c>
      <c r="E91" s="6" t="n"/>
      <c r="F91" s="6" t="n"/>
      <c r="G91" s="7">
        <f>IF(A91="","",A91+(7-WEEKDAY(A91,2)))</f>
        <v/>
      </c>
      <c r="H91" s="6">
        <f>IF(OR(A91="",B91=""),"",SUMIFS($E$2:$E$1001,$A$2:$A$1001,A91,$B$2:$B$1001,B91))</f>
        <v/>
      </c>
    </row>
    <row r="92">
      <c r="A92" s="7" t="n"/>
      <c r="B92" s="6" t="n"/>
      <c r="C92" s="6" t="n"/>
      <c r="D92" s="6">
        <f>IF(C92="","",IFERROR(VLOOKUP(C92,Lists!$C:$D,2,FALSE),""))</f>
        <v/>
      </c>
      <c r="E92" s="6" t="n"/>
      <c r="F92" s="6" t="n"/>
      <c r="G92" s="7">
        <f>IF(A92="","",A92+(7-WEEKDAY(A92,2)))</f>
        <v/>
      </c>
      <c r="H92" s="6">
        <f>IF(OR(A92="",B92=""),"",SUMIFS($E$2:$E$1001,$A$2:$A$1001,A92,$B$2:$B$1001,B92))</f>
        <v/>
      </c>
    </row>
    <row r="93">
      <c r="A93" s="7" t="n"/>
      <c r="B93" s="6" t="n"/>
      <c r="C93" s="6" t="n"/>
      <c r="D93" s="6">
        <f>IF(C93="","",IFERROR(VLOOKUP(C93,Lists!$C:$D,2,FALSE),""))</f>
        <v/>
      </c>
      <c r="E93" s="6" t="n"/>
      <c r="F93" s="6" t="n"/>
      <c r="G93" s="7">
        <f>IF(A93="","",A93+(7-WEEKDAY(A93,2)))</f>
        <v/>
      </c>
      <c r="H93" s="6">
        <f>IF(OR(A93="",B93=""),"",SUMIFS($E$2:$E$1001,$A$2:$A$1001,A93,$B$2:$B$1001,B93))</f>
        <v/>
      </c>
    </row>
    <row r="94">
      <c r="A94" s="7" t="n"/>
      <c r="B94" s="6" t="n"/>
      <c r="C94" s="6" t="n"/>
      <c r="D94" s="6">
        <f>IF(C94="","",IFERROR(VLOOKUP(C94,Lists!$C:$D,2,FALSE),""))</f>
        <v/>
      </c>
      <c r="E94" s="6" t="n"/>
      <c r="F94" s="6" t="n"/>
      <c r="G94" s="7">
        <f>IF(A94="","",A94+(7-WEEKDAY(A94,2)))</f>
        <v/>
      </c>
      <c r="H94" s="6">
        <f>IF(OR(A94="",B94=""),"",SUMIFS($E$2:$E$1001,$A$2:$A$1001,A94,$B$2:$B$1001,B94))</f>
        <v/>
      </c>
    </row>
    <row r="95">
      <c r="A95" s="7" t="n"/>
      <c r="B95" s="6" t="n"/>
      <c r="C95" s="6" t="n"/>
      <c r="D95" s="6">
        <f>IF(C95="","",IFERROR(VLOOKUP(C95,Lists!$C:$D,2,FALSE),""))</f>
        <v/>
      </c>
      <c r="E95" s="6" t="n"/>
      <c r="F95" s="6" t="n"/>
      <c r="G95" s="7">
        <f>IF(A95="","",A95+(7-WEEKDAY(A95,2)))</f>
        <v/>
      </c>
      <c r="H95" s="6">
        <f>IF(OR(A95="",B95=""),"",SUMIFS($E$2:$E$1001,$A$2:$A$1001,A95,$B$2:$B$1001,B95))</f>
        <v/>
      </c>
    </row>
    <row r="96">
      <c r="A96" s="7" t="n"/>
      <c r="B96" s="6" t="n"/>
      <c r="C96" s="6" t="n"/>
      <c r="D96" s="6">
        <f>IF(C96="","",IFERROR(VLOOKUP(C96,Lists!$C:$D,2,FALSE),""))</f>
        <v/>
      </c>
      <c r="E96" s="6" t="n"/>
      <c r="F96" s="6" t="n"/>
      <c r="G96" s="7">
        <f>IF(A96="","",A96+(7-WEEKDAY(A96,2)))</f>
        <v/>
      </c>
      <c r="H96" s="6">
        <f>IF(OR(A96="",B96=""),"",SUMIFS($E$2:$E$1001,$A$2:$A$1001,A96,$B$2:$B$1001,B96))</f>
        <v/>
      </c>
    </row>
    <row r="97">
      <c r="A97" s="7" t="n"/>
      <c r="B97" s="6" t="n"/>
      <c r="C97" s="6" t="n"/>
      <c r="D97" s="6">
        <f>IF(C97="","",IFERROR(VLOOKUP(C97,Lists!$C:$D,2,FALSE),""))</f>
        <v/>
      </c>
      <c r="E97" s="6" t="n"/>
      <c r="F97" s="6" t="n"/>
      <c r="G97" s="7">
        <f>IF(A97="","",A97+(7-WEEKDAY(A97,2)))</f>
        <v/>
      </c>
      <c r="H97" s="6">
        <f>IF(OR(A97="",B97=""),"",SUMIFS($E$2:$E$1001,$A$2:$A$1001,A97,$B$2:$B$1001,B97))</f>
        <v/>
      </c>
    </row>
    <row r="98">
      <c r="A98" s="7" t="n"/>
      <c r="B98" s="6" t="n"/>
      <c r="C98" s="6" t="n"/>
      <c r="D98" s="6">
        <f>IF(C98="","",IFERROR(VLOOKUP(C98,Lists!$C:$D,2,FALSE),""))</f>
        <v/>
      </c>
      <c r="E98" s="6" t="n"/>
      <c r="F98" s="6" t="n"/>
      <c r="G98" s="7">
        <f>IF(A98="","",A98+(7-WEEKDAY(A98,2)))</f>
        <v/>
      </c>
      <c r="H98" s="6">
        <f>IF(OR(A98="",B98=""),"",SUMIFS($E$2:$E$1001,$A$2:$A$1001,A98,$B$2:$B$1001,B98))</f>
        <v/>
      </c>
    </row>
    <row r="99">
      <c r="A99" s="7" t="n"/>
      <c r="B99" s="6" t="n"/>
      <c r="C99" s="6" t="n"/>
      <c r="D99" s="6">
        <f>IF(C99="","",IFERROR(VLOOKUP(C99,Lists!$C:$D,2,FALSE),""))</f>
        <v/>
      </c>
      <c r="E99" s="6" t="n"/>
      <c r="F99" s="6" t="n"/>
      <c r="G99" s="7">
        <f>IF(A99="","",A99+(7-WEEKDAY(A99,2)))</f>
        <v/>
      </c>
      <c r="H99" s="6">
        <f>IF(OR(A99="",B99=""),"",SUMIFS($E$2:$E$1001,$A$2:$A$1001,A99,$B$2:$B$1001,B99))</f>
        <v/>
      </c>
    </row>
    <row r="100">
      <c r="A100" s="7" t="n"/>
      <c r="B100" s="6" t="n"/>
      <c r="C100" s="6" t="n"/>
      <c r="D100" s="6">
        <f>IF(C100="","",IFERROR(VLOOKUP(C100,Lists!$C:$D,2,FALSE),""))</f>
        <v/>
      </c>
      <c r="E100" s="6" t="n"/>
      <c r="F100" s="6" t="n"/>
      <c r="G100" s="7">
        <f>IF(A100="","",A100+(7-WEEKDAY(A100,2)))</f>
        <v/>
      </c>
      <c r="H100" s="6">
        <f>IF(OR(A100="",B100=""),"",SUMIFS($E$2:$E$1001,$A$2:$A$1001,A100,$B$2:$B$1001,B100))</f>
        <v/>
      </c>
    </row>
    <row r="101">
      <c r="A101" s="7" t="n"/>
      <c r="B101" s="6" t="n"/>
      <c r="C101" s="6" t="n"/>
      <c r="D101" s="6">
        <f>IF(C101="","",IFERROR(VLOOKUP(C101,Lists!$C:$D,2,FALSE),""))</f>
        <v/>
      </c>
      <c r="E101" s="6" t="n"/>
      <c r="F101" s="6" t="n"/>
      <c r="G101" s="7">
        <f>IF(A101="","",A101+(7-WEEKDAY(A101,2)))</f>
        <v/>
      </c>
      <c r="H101" s="6">
        <f>IF(OR(A101="",B101=""),"",SUMIFS($E$2:$E$1001,$A$2:$A$1001,A101,$B$2:$B$1001,B101))</f>
        <v/>
      </c>
    </row>
    <row r="102">
      <c r="A102" s="7" t="n"/>
      <c r="B102" s="6" t="n"/>
      <c r="C102" s="6" t="n"/>
      <c r="D102" s="6">
        <f>IF(C102="","",IFERROR(VLOOKUP(C102,Lists!$C:$D,2,FALSE),""))</f>
        <v/>
      </c>
      <c r="E102" s="6" t="n"/>
      <c r="F102" s="6" t="n"/>
      <c r="G102" s="7">
        <f>IF(A102="","",A102+(7-WEEKDAY(A102,2)))</f>
        <v/>
      </c>
      <c r="H102" s="6">
        <f>IF(OR(A102="",B102=""),"",SUMIFS($E$2:$E$1001,$A$2:$A$1001,A102,$B$2:$B$1001,B102))</f>
        <v/>
      </c>
    </row>
    <row r="103">
      <c r="A103" s="7" t="n"/>
      <c r="B103" s="6" t="n"/>
      <c r="C103" s="6" t="n"/>
      <c r="D103" s="6">
        <f>IF(C103="","",IFERROR(VLOOKUP(C103,Lists!$C:$D,2,FALSE),""))</f>
        <v/>
      </c>
      <c r="E103" s="6" t="n"/>
      <c r="F103" s="6" t="n"/>
      <c r="G103" s="7">
        <f>IF(A103="","",A103+(7-WEEKDAY(A103,2)))</f>
        <v/>
      </c>
      <c r="H103" s="6">
        <f>IF(OR(A103="",B103=""),"",SUMIFS($E$2:$E$1001,$A$2:$A$1001,A103,$B$2:$B$1001,B103))</f>
        <v/>
      </c>
    </row>
    <row r="104">
      <c r="A104" s="7" t="n"/>
      <c r="B104" s="6" t="n"/>
      <c r="C104" s="6" t="n"/>
      <c r="D104" s="6">
        <f>IF(C104="","",IFERROR(VLOOKUP(C104,Lists!$C:$D,2,FALSE),""))</f>
        <v/>
      </c>
      <c r="E104" s="6" t="n"/>
      <c r="F104" s="6" t="n"/>
      <c r="G104" s="7">
        <f>IF(A104="","",A104+(7-WEEKDAY(A104,2)))</f>
        <v/>
      </c>
      <c r="H104" s="6">
        <f>IF(OR(A104="",B104=""),"",SUMIFS($E$2:$E$1001,$A$2:$A$1001,A104,$B$2:$B$1001,B104))</f>
        <v/>
      </c>
    </row>
    <row r="105">
      <c r="A105" s="7" t="n"/>
      <c r="B105" s="6" t="n"/>
      <c r="C105" s="6" t="n"/>
      <c r="D105" s="6">
        <f>IF(C105="","",IFERROR(VLOOKUP(C105,Lists!$C:$D,2,FALSE),""))</f>
        <v/>
      </c>
      <c r="E105" s="6" t="n"/>
      <c r="F105" s="6" t="n"/>
      <c r="G105" s="7">
        <f>IF(A105="","",A105+(7-WEEKDAY(A105,2)))</f>
        <v/>
      </c>
      <c r="H105" s="6">
        <f>IF(OR(A105="",B105=""),"",SUMIFS($E$2:$E$1001,$A$2:$A$1001,A105,$B$2:$B$1001,B105))</f>
        <v/>
      </c>
    </row>
    <row r="106">
      <c r="A106" s="7" t="n"/>
      <c r="B106" s="6" t="n"/>
      <c r="C106" s="6" t="n"/>
      <c r="D106" s="6">
        <f>IF(C106="","",IFERROR(VLOOKUP(C106,Lists!$C:$D,2,FALSE),""))</f>
        <v/>
      </c>
      <c r="E106" s="6" t="n"/>
      <c r="F106" s="6" t="n"/>
      <c r="G106" s="7">
        <f>IF(A106="","",A106+(7-WEEKDAY(A106,2)))</f>
        <v/>
      </c>
      <c r="H106" s="6">
        <f>IF(OR(A106="",B106=""),"",SUMIFS($E$2:$E$1001,$A$2:$A$1001,A106,$B$2:$B$1001,B106))</f>
        <v/>
      </c>
    </row>
    <row r="107">
      <c r="A107" s="7" t="n"/>
      <c r="B107" s="6" t="n"/>
      <c r="C107" s="6" t="n"/>
      <c r="D107" s="6">
        <f>IF(C107="","",IFERROR(VLOOKUP(C107,Lists!$C:$D,2,FALSE),""))</f>
        <v/>
      </c>
      <c r="E107" s="6" t="n"/>
      <c r="F107" s="6" t="n"/>
      <c r="G107" s="7">
        <f>IF(A107="","",A107+(7-WEEKDAY(A107,2)))</f>
        <v/>
      </c>
      <c r="H107" s="6">
        <f>IF(OR(A107="",B107=""),"",SUMIFS($E$2:$E$1001,$A$2:$A$1001,A107,$B$2:$B$1001,B107))</f>
        <v/>
      </c>
    </row>
    <row r="108">
      <c r="A108" s="7" t="n"/>
      <c r="B108" s="6" t="n"/>
      <c r="C108" s="6" t="n"/>
      <c r="D108" s="6">
        <f>IF(C108="","",IFERROR(VLOOKUP(C108,Lists!$C:$D,2,FALSE),""))</f>
        <v/>
      </c>
      <c r="E108" s="6" t="n"/>
      <c r="F108" s="6" t="n"/>
      <c r="G108" s="7">
        <f>IF(A108="","",A108+(7-WEEKDAY(A108,2)))</f>
        <v/>
      </c>
      <c r="H108" s="6">
        <f>IF(OR(A108="",B108=""),"",SUMIFS($E$2:$E$1001,$A$2:$A$1001,A108,$B$2:$B$1001,B108))</f>
        <v/>
      </c>
    </row>
    <row r="109">
      <c r="A109" s="7" t="n"/>
      <c r="B109" s="6" t="n"/>
      <c r="C109" s="6" t="n"/>
      <c r="D109" s="6">
        <f>IF(C109="","",IFERROR(VLOOKUP(C109,Lists!$C:$D,2,FALSE),""))</f>
        <v/>
      </c>
      <c r="E109" s="6" t="n"/>
      <c r="F109" s="6" t="n"/>
      <c r="G109" s="7">
        <f>IF(A109="","",A109+(7-WEEKDAY(A109,2)))</f>
        <v/>
      </c>
      <c r="H109" s="6">
        <f>IF(OR(A109="",B109=""),"",SUMIFS($E$2:$E$1001,$A$2:$A$1001,A109,$B$2:$B$1001,B109))</f>
        <v/>
      </c>
    </row>
    <row r="110">
      <c r="A110" s="7" t="n"/>
      <c r="B110" s="6" t="n"/>
      <c r="C110" s="6" t="n"/>
      <c r="D110" s="6">
        <f>IF(C110="","",IFERROR(VLOOKUP(C110,Lists!$C:$D,2,FALSE),""))</f>
        <v/>
      </c>
      <c r="E110" s="6" t="n"/>
      <c r="F110" s="6" t="n"/>
      <c r="G110" s="7">
        <f>IF(A110="","",A110+(7-WEEKDAY(A110,2)))</f>
        <v/>
      </c>
      <c r="H110" s="6">
        <f>IF(OR(A110="",B110=""),"",SUMIFS($E$2:$E$1001,$A$2:$A$1001,A110,$B$2:$B$1001,B110))</f>
        <v/>
      </c>
    </row>
    <row r="111">
      <c r="A111" s="7" t="n"/>
      <c r="B111" s="6" t="n"/>
      <c r="C111" s="6" t="n"/>
      <c r="D111" s="6">
        <f>IF(C111="","",IFERROR(VLOOKUP(C111,Lists!$C:$D,2,FALSE),""))</f>
        <v/>
      </c>
      <c r="E111" s="6" t="n"/>
      <c r="F111" s="6" t="n"/>
      <c r="G111" s="7">
        <f>IF(A111="","",A111+(7-WEEKDAY(A111,2)))</f>
        <v/>
      </c>
      <c r="H111" s="6">
        <f>IF(OR(A111="",B111=""),"",SUMIFS($E$2:$E$1001,$A$2:$A$1001,A111,$B$2:$B$1001,B111))</f>
        <v/>
      </c>
    </row>
    <row r="112">
      <c r="A112" s="7" t="n"/>
      <c r="B112" s="6" t="n"/>
      <c r="C112" s="6" t="n"/>
      <c r="D112" s="6">
        <f>IF(C112="","",IFERROR(VLOOKUP(C112,Lists!$C:$D,2,FALSE),""))</f>
        <v/>
      </c>
      <c r="E112" s="6" t="n"/>
      <c r="F112" s="6" t="n"/>
      <c r="G112" s="7">
        <f>IF(A112="","",A112+(7-WEEKDAY(A112,2)))</f>
        <v/>
      </c>
      <c r="H112" s="6">
        <f>IF(OR(A112="",B112=""),"",SUMIFS($E$2:$E$1001,$A$2:$A$1001,A112,$B$2:$B$1001,B112))</f>
        <v/>
      </c>
    </row>
    <row r="113">
      <c r="A113" s="7" t="n"/>
      <c r="B113" s="6" t="n"/>
      <c r="C113" s="6" t="n"/>
      <c r="D113" s="6">
        <f>IF(C113="","",IFERROR(VLOOKUP(C113,Lists!$C:$D,2,FALSE),""))</f>
        <v/>
      </c>
      <c r="E113" s="6" t="n"/>
      <c r="F113" s="6" t="n"/>
      <c r="G113" s="7">
        <f>IF(A113="","",A113+(7-WEEKDAY(A113,2)))</f>
        <v/>
      </c>
      <c r="H113" s="6">
        <f>IF(OR(A113="",B113=""),"",SUMIFS($E$2:$E$1001,$A$2:$A$1001,A113,$B$2:$B$1001,B113))</f>
        <v/>
      </c>
    </row>
    <row r="114">
      <c r="A114" s="7" t="n"/>
      <c r="B114" s="6" t="n"/>
      <c r="C114" s="6" t="n"/>
      <c r="D114" s="6">
        <f>IF(C114="","",IFERROR(VLOOKUP(C114,Lists!$C:$D,2,FALSE),""))</f>
        <v/>
      </c>
      <c r="E114" s="6" t="n"/>
      <c r="F114" s="6" t="n"/>
      <c r="G114" s="7">
        <f>IF(A114="","",A114+(7-WEEKDAY(A114,2)))</f>
        <v/>
      </c>
      <c r="H114" s="6">
        <f>IF(OR(A114="",B114=""),"",SUMIFS($E$2:$E$1001,$A$2:$A$1001,A114,$B$2:$B$1001,B114))</f>
        <v/>
      </c>
    </row>
    <row r="115">
      <c r="A115" s="7" t="n"/>
      <c r="B115" s="6" t="n"/>
      <c r="C115" s="6" t="n"/>
      <c r="D115" s="6">
        <f>IF(C115="","",IFERROR(VLOOKUP(C115,Lists!$C:$D,2,FALSE),""))</f>
        <v/>
      </c>
      <c r="E115" s="6" t="n"/>
      <c r="F115" s="6" t="n"/>
      <c r="G115" s="7">
        <f>IF(A115="","",A115+(7-WEEKDAY(A115,2)))</f>
        <v/>
      </c>
      <c r="H115" s="6">
        <f>IF(OR(A115="",B115=""),"",SUMIFS($E$2:$E$1001,$A$2:$A$1001,A115,$B$2:$B$1001,B115))</f>
        <v/>
      </c>
    </row>
    <row r="116">
      <c r="A116" s="7" t="n"/>
      <c r="B116" s="6" t="n"/>
      <c r="C116" s="6" t="n"/>
      <c r="D116" s="6">
        <f>IF(C116="","",IFERROR(VLOOKUP(C116,Lists!$C:$D,2,FALSE),""))</f>
        <v/>
      </c>
      <c r="E116" s="6" t="n"/>
      <c r="F116" s="6" t="n"/>
      <c r="G116" s="7">
        <f>IF(A116="","",A116+(7-WEEKDAY(A116,2)))</f>
        <v/>
      </c>
      <c r="H116" s="6">
        <f>IF(OR(A116="",B116=""),"",SUMIFS($E$2:$E$1001,$A$2:$A$1001,A116,$B$2:$B$1001,B116))</f>
        <v/>
      </c>
    </row>
    <row r="117">
      <c r="A117" s="7" t="n"/>
      <c r="B117" s="6" t="n"/>
      <c r="C117" s="6" t="n"/>
      <c r="D117" s="6">
        <f>IF(C117="","",IFERROR(VLOOKUP(C117,Lists!$C:$D,2,FALSE),""))</f>
        <v/>
      </c>
      <c r="E117" s="6" t="n"/>
      <c r="F117" s="6" t="n"/>
      <c r="G117" s="7">
        <f>IF(A117="","",A117+(7-WEEKDAY(A117,2)))</f>
        <v/>
      </c>
      <c r="H117" s="6">
        <f>IF(OR(A117="",B117=""),"",SUMIFS($E$2:$E$1001,$A$2:$A$1001,A117,$B$2:$B$1001,B117))</f>
        <v/>
      </c>
    </row>
    <row r="118">
      <c r="A118" s="7" t="n"/>
      <c r="B118" s="6" t="n"/>
      <c r="C118" s="6" t="n"/>
      <c r="D118" s="6">
        <f>IF(C118="","",IFERROR(VLOOKUP(C118,Lists!$C:$D,2,FALSE),""))</f>
        <v/>
      </c>
      <c r="E118" s="6" t="n"/>
      <c r="F118" s="6" t="n"/>
      <c r="G118" s="7">
        <f>IF(A118="","",A118+(7-WEEKDAY(A118,2)))</f>
        <v/>
      </c>
      <c r="H118" s="6">
        <f>IF(OR(A118="",B118=""),"",SUMIFS($E$2:$E$1001,$A$2:$A$1001,A118,$B$2:$B$1001,B118))</f>
        <v/>
      </c>
    </row>
    <row r="119">
      <c r="A119" s="7" t="n"/>
      <c r="B119" s="6" t="n"/>
      <c r="C119" s="6" t="n"/>
      <c r="D119" s="6">
        <f>IF(C119="","",IFERROR(VLOOKUP(C119,Lists!$C:$D,2,FALSE),""))</f>
        <v/>
      </c>
      <c r="E119" s="6" t="n"/>
      <c r="F119" s="6" t="n"/>
      <c r="G119" s="7">
        <f>IF(A119="","",A119+(7-WEEKDAY(A119,2)))</f>
        <v/>
      </c>
      <c r="H119" s="6">
        <f>IF(OR(A119="",B119=""),"",SUMIFS($E$2:$E$1001,$A$2:$A$1001,A119,$B$2:$B$1001,B119))</f>
        <v/>
      </c>
    </row>
    <row r="120">
      <c r="A120" s="7" t="n"/>
      <c r="B120" s="6" t="n"/>
      <c r="C120" s="6" t="n"/>
      <c r="D120" s="6">
        <f>IF(C120="","",IFERROR(VLOOKUP(C120,Lists!$C:$D,2,FALSE),""))</f>
        <v/>
      </c>
      <c r="E120" s="6" t="n"/>
      <c r="F120" s="6" t="n"/>
      <c r="G120" s="7">
        <f>IF(A120="","",A120+(7-WEEKDAY(A120,2)))</f>
        <v/>
      </c>
      <c r="H120" s="6">
        <f>IF(OR(A120="",B120=""),"",SUMIFS($E$2:$E$1001,$A$2:$A$1001,A120,$B$2:$B$1001,B120))</f>
        <v/>
      </c>
    </row>
    <row r="121">
      <c r="A121" s="7" t="n"/>
      <c r="B121" s="6" t="n"/>
      <c r="C121" s="6" t="n"/>
      <c r="D121" s="6">
        <f>IF(C121="","",IFERROR(VLOOKUP(C121,Lists!$C:$D,2,FALSE),""))</f>
        <v/>
      </c>
      <c r="E121" s="6" t="n"/>
      <c r="F121" s="6" t="n"/>
      <c r="G121" s="7">
        <f>IF(A121="","",A121+(7-WEEKDAY(A121,2)))</f>
        <v/>
      </c>
      <c r="H121" s="6">
        <f>IF(OR(A121="",B121=""),"",SUMIFS($E$2:$E$1001,$A$2:$A$1001,A121,$B$2:$B$1001,B121))</f>
        <v/>
      </c>
    </row>
    <row r="122">
      <c r="A122" s="7" t="n"/>
      <c r="B122" s="6" t="n"/>
      <c r="C122" s="6" t="n"/>
      <c r="D122" s="6">
        <f>IF(C122="","",IFERROR(VLOOKUP(C122,Lists!$C:$D,2,FALSE),""))</f>
        <v/>
      </c>
      <c r="E122" s="6" t="n"/>
      <c r="F122" s="6" t="n"/>
      <c r="G122" s="7">
        <f>IF(A122="","",A122+(7-WEEKDAY(A122,2)))</f>
        <v/>
      </c>
      <c r="H122" s="6">
        <f>IF(OR(A122="",B122=""),"",SUMIFS($E$2:$E$1001,$A$2:$A$1001,A122,$B$2:$B$1001,B122))</f>
        <v/>
      </c>
    </row>
    <row r="123">
      <c r="A123" s="7" t="n"/>
      <c r="B123" s="6" t="n"/>
      <c r="C123" s="6" t="n"/>
      <c r="D123" s="6">
        <f>IF(C123="","",IFERROR(VLOOKUP(C123,Lists!$C:$D,2,FALSE),""))</f>
        <v/>
      </c>
      <c r="E123" s="6" t="n"/>
      <c r="F123" s="6" t="n"/>
      <c r="G123" s="7">
        <f>IF(A123="","",A123+(7-WEEKDAY(A123,2)))</f>
        <v/>
      </c>
      <c r="H123" s="6">
        <f>IF(OR(A123="",B123=""),"",SUMIFS($E$2:$E$1001,$A$2:$A$1001,A123,$B$2:$B$1001,B123))</f>
        <v/>
      </c>
    </row>
    <row r="124">
      <c r="A124" s="7" t="n"/>
      <c r="B124" s="6" t="n"/>
      <c r="C124" s="6" t="n"/>
      <c r="D124" s="6">
        <f>IF(C124="","",IFERROR(VLOOKUP(C124,Lists!$C:$D,2,FALSE),""))</f>
        <v/>
      </c>
      <c r="E124" s="6" t="n"/>
      <c r="F124" s="6" t="n"/>
      <c r="G124" s="7">
        <f>IF(A124="","",A124+(7-WEEKDAY(A124,2)))</f>
        <v/>
      </c>
      <c r="H124" s="6">
        <f>IF(OR(A124="",B124=""),"",SUMIFS($E$2:$E$1001,$A$2:$A$1001,A124,$B$2:$B$1001,B124))</f>
        <v/>
      </c>
    </row>
    <row r="125">
      <c r="A125" s="7" t="n"/>
      <c r="B125" s="6" t="n"/>
      <c r="C125" s="6" t="n"/>
      <c r="D125" s="6">
        <f>IF(C125="","",IFERROR(VLOOKUP(C125,Lists!$C:$D,2,FALSE),""))</f>
        <v/>
      </c>
      <c r="E125" s="6" t="n"/>
      <c r="F125" s="6" t="n"/>
      <c r="G125" s="7">
        <f>IF(A125="","",A125+(7-WEEKDAY(A125,2)))</f>
        <v/>
      </c>
      <c r="H125" s="6">
        <f>IF(OR(A125="",B125=""),"",SUMIFS($E$2:$E$1001,$A$2:$A$1001,A125,$B$2:$B$1001,B125))</f>
        <v/>
      </c>
    </row>
    <row r="126">
      <c r="A126" s="7" t="n"/>
      <c r="B126" s="6" t="n"/>
      <c r="C126" s="6" t="n"/>
      <c r="D126" s="6">
        <f>IF(C126="","",IFERROR(VLOOKUP(C126,Lists!$C:$D,2,FALSE),""))</f>
        <v/>
      </c>
      <c r="E126" s="6" t="n"/>
      <c r="F126" s="6" t="n"/>
      <c r="G126" s="7">
        <f>IF(A126="","",A126+(7-WEEKDAY(A126,2)))</f>
        <v/>
      </c>
      <c r="H126" s="6">
        <f>IF(OR(A126="",B126=""),"",SUMIFS($E$2:$E$1001,$A$2:$A$1001,A126,$B$2:$B$1001,B126))</f>
        <v/>
      </c>
    </row>
    <row r="127">
      <c r="A127" s="7" t="n"/>
      <c r="B127" s="6" t="n"/>
      <c r="C127" s="6" t="n"/>
      <c r="D127" s="6">
        <f>IF(C127="","",IFERROR(VLOOKUP(C127,Lists!$C:$D,2,FALSE),""))</f>
        <v/>
      </c>
      <c r="E127" s="6" t="n"/>
      <c r="F127" s="6" t="n"/>
      <c r="G127" s="7">
        <f>IF(A127="","",A127+(7-WEEKDAY(A127,2)))</f>
        <v/>
      </c>
      <c r="H127" s="6">
        <f>IF(OR(A127="",B127=""),"",SUMIFS($E$2:$E$1001,$A$2:$A$1001,A127,$B$2:$B$1001,B127))</f>
        <v/>
      </c>
    </row>
    <row r="128">
      <c r="A128" s="7" t="n"/>
      <c r="B128" s="6" t="n"/>
      <c r="C128" s="6" t="n"/>
      <c r="D128" s="6">
        <f>IF(C128="","",IFERROR(VLOOKUP(C128,Lists!$C:$D,2,FALSE),""))</f>
        <v/>
      </c>
      <c r="E128" s="6" t="n"/>
      <c r="F128" s="6" t="n"/>
      <c r="G128" s="7">
        <f>IF(A128="","",A128+(7-WEEKDAY(A128,2)))</f>
        <v/>
      </c>
      <c r="H128" s="6">
        <f>IF(OR(A128="",B128=""),"",SUMIFS($E$2:$E$1001,$A$2:$A$1001,A128,$B$2:$B$1001,B128))</f>
        <v/>
      </c>
    </row>
    <row r="129">
      <c r="A129" s="7" t="n"/>
      <c r="B129" s="6" t="n"/>
      <c r="C129" s="6" t="n"/>
      <c r="D129" s="6">
        <f>IF(C129="","",IFERROR(VLOOKUP(C129,Lists!$C:$D,2,FALSE),""))</f>
        <v/>
      </c>
      <c r="E129" s="6" t="n"/>
      <c r="F129" s="6" t="n"/>
      <c r="G129" s="7">
        <f>IF(A129="","",A129+(7-WEEKDAY(A129,2)))</f>
        <v/>
      </c>
      <c r="H129" s="6">
        <f>IF(OR(A129="",B129=""),"",SUMIFS($E$2:$E$1001,$A$2:$A$1001,A129,$B$2:$B$1001,B129))</f>
        <v/>
      </c>
    </row>
    <row r="130">
      <c r="A130" s="7" t="n"/>
      <c r="B130" s="6" t="n"/>
      <c r="C130" s="6" t="n"/>
      <c r="D130" s="6">
        <f>IF(C130="","",IFERROR(VLOOKUP(C130,Lists!$C:$D,2,FALSE),""))</f>
        <v/>
      </c>
      <c r="E130" s="6" t="n"/>
      <c r="F130" s="6" t="n"/>
      <c r="G130" s="7">
        <f>IF(A130="","",A130+(7-WEEKDAY(A130,2)))</f>
        <v/>
      </c>
      <c r="H130" s="6">
        <f>IF(OR(A130="",B130=""),"",SUMIFS($E$2:$E$1001,$A$2:$A$1001,A130,$B$2:$B$1001,B130))</f>
        <v/>
      </c>
    </row>
    <row r="131">
      <c r="A131" s="7" t="n"/>
      <c r="B131" s="6" t="n"/>
      <c r="C131" s="6" t="n"/>
      <c r="D131" s="6">
        <f>IF(C131="","",IFERROR(VLOOKUP(C131,Lists!$C:$D,2,FALSE),""))</f>
        <v/>
      </c>
      <c r="E131" s="6" t="n"/>
      <c r="F131" s="6" t="n"/>
      <c r="G131" s="7">
        <f>IF(A131="","",A131+(7-WEEKDAY(A131,2)))</f>
        <v/>
      </c>
      <c r="H131" s="6">
        <f>IF(OR(A131="",B131=""),"",SUMIFS($E$2:$E$1001,$A$2:$A$1001,A131,$B$2:$B$1001,B131))</f>
        <v/>
      </c>
    </row>
    <row r="132">
      <c r="A132" s="7" t="n"/>
      <c r="B132" s="6" t="n"/>
      <c r="C132" s="6" t="n"/>
      <c r="D132" s="6">
        <f>IF(C132="","",IFERROR(VLOOKUP(C132,Lists!$C:$D,2,FALSE),""))</f>
        <v/>
      </c>
      <c r="E132" s="6" t="n"/>
      <c r="F132" s="6" t="n"/>
      <c r="G132" s="7">
        <f>IF(A132="","",A132+(7-WEEKDAY(A132,2)))</f>
        <v/>
      </c>
      <c r="H132" s="6">
        <f>IF(OR(A132="",B132=""),"",SUMIFS($E$2:$E$1001,$A$2:$A$1001,A132,$B$2:$B$1001,B132))</f>
        <v/>
      </c>
    </row>
    <row r="133">
      <c r="A133" s="7" t="n"/>
      <c r="B133" s="6" t="n"/>
      <c r="C133" s="6" t="n"/>
      <c r="D133" s="6">
        <f>IF(C133="","",IFERROR(VLOOKUP(C133,Lists!$C:$D,2,FALSE),""))</f>
        <v/>
      </c>
      <c r="E133" s="6" t="n"/>
      <c r="F133" s="6" t="n"/>
      <c r="G133" s="7">
        <f>IF(A133="","",A133+(7-WEEKDAY(A133,2)))</f>
        <v/>
      </c>
      <c r="H133" s="6">
        <f>IF(OR(A133="",B133=""),"",SUMIFS($E$2:$E$1001,$A$2:$A$1001,A133,$B$2:$B$1001,B133))</f>
        <v/>
      </c>
    </row>
    <row r="134">
      <c r="A134" s="7" t="n"/>
      <c r="B134" s="6" t="n"/>
      <c r="C134" s="6" t="n"/>
      <c r="D134" s="6">
        <f>IF(C134="","",IFERROR(VLOOKUP(C134,Lists!$C:$D,2,FALSE),""))</f>
        <v/>
      </c>
      <c r="E134" s="6" t="n"/>
      <c r="F134" s="6" t="n"/>
      <c r="G134" s="7">
        <f>IF(A134="","",A134+(7-WEEKDAY(A134,2)))</f>
        <v/>
      </c>
      <c r="H134" s="6">
        <f>IF(OR(A134="",B134=""),"",SUMIFS($E$2:$E$1001,$A$2:$A$1001,A134,$B$2:$B$1001,B134))</f>
        <v/>
      </c>
    </row>
    <row r="135">
      <c r="A135" s="7" t="n"/>
      <c r="B135" s="6" t="n"/>
      <c r="C135" s="6" t="n"/>
      <c r="D135" s="6">
        <f>IF(C135="","",IFERROR(VLOOKUP(C135,Lists!$C:$D,2,FALSE),""))</f>
        <v/>
      </c>
      <c r="E135" s="6" t="n"/>
      <c r="F135" s="6" t="n"/>
      <c r="G135" s="7">
        <f>IF(A135="","",A135+(7-WEEKDAY(A135,2)))</f>
        <v/>
      </c>
      <c r="H135" s="6">
        <f>IF(OR(A135="",B135=""),"",SUMIFS($E$2:$E$1001,$A$2:$A$1001,A135,$B$2:$B$1001,B135))</f>
        <v/>
      </c>
    </row>
    <row r="136">
      <c r="A136" s="7" t="n"/>
      <c r="B136" s="6" t="n"/>
      <c r="C136" s="6" t="n"/>
      <c r="D136" s="6">
        <f>IF(C136="","",IFERROR(VLOOKUP(C136,Lists!$C:$D,2,FALSE),""))</f>
        <v/>
      </c>
      <c r="E136" s="6" t="n"/>
      <c r="F136" s="6" t="n"/>
      <c r="G136" s="7">
        <f>IF(A136="","",A136+(7-WEEKDAY(A136,2)))</f>
        <v/>
      </c>
      <c r="H136" s="6">
        <f>IF(OR(A136="",B136=""),"",SUMIFS($E$2:$E$1001,$A$2:$A$1001,A136,$B$2:$B$1001,B136))</f>
        <v/>
      </c>
    </row>
    <row r="137">
      <c r="A137" s="7" t="n"/>
      <c r="B137" s="6" t="n"/>
      <c r="C137" s="6" t="n"/>
      <c r="D137" s="6">
        <f>IF(C137="","",IFERROR(VLOOKUP(C137,Lists!$C:$D,2,FALSE),""))</f>
        <v/>
      </c>
      <c r="E137" s="6" t="n"/>
      <c r="F137" s="6" t="n"/>
      <c r="G137" s="7">
        <f>IF(A137="","",A137+(7-WEEKDAY(A137,2)))</f>
        <v/>
      </c>
      <c r="H137" s="6">
        <f>IF(OR(A137="",B137=""),"",SUMIFS($E$2:$E$1001,$A$2:$A$1001,A137,$B$2:$B$1001,B137))</f>
        <v/>
      </c>
    </row>
    <row r="138">
      <c r="A138" s="7" t="n"/>
      <c r="B138" s="6" t="n"/>
      <c r="C138" s="6" t="n"/>
      <c r="D138" s="6">
        <f>IF(C138="","",IFERROR(VLOOKUP(C138,Lists!$C:$D,2,FALSE),""))</f>
        <v/>
      </c>
      <c r="E138" s="6" t="n"/>
      <c r="F138" s="6" t="n"/>
      <c r="G138" s="7">
        <f>IF(A138="","",A138+(7-WEEKDAY(A138,2)))</f>
        <v/>
      </c>
      <c r="H138" s="6">
        <f>IF(OR(A138="",B138=""),"",SUMIFS($E$2:$E$1001,$A$2:$A$1001,A138,$B$2:$B$1001,B138))</f>
        <v/>
      </c>
    </row>
    <row r="139">
      <c r="A139" s="7" t="n"/>
      <c r="B139" s="6" t="n"/>
      <c r="C139" s="6" t="n"/>
      <c r="D139" s="6">
        <f>IF(C139="","",IFERROR(VLOOKUP(C139,Lists!$C:$D,2,FALSE),""))</f>
        <v/>
      </c>
      <c r="E139" s="6" t="n"/>
      <c r="F139" s="6" t="n"/>
      <c r="G139" s="7">
        <f>IF(A139="","",A139+(7-WEEKDAY(A139,2)))</f>
        <v/>
      </c>
      <c r="H139" s="6">
        <f>IF(OR(A139="",B139=""),"",SUMIFS($E$2:$E$1001,$A$2:$A$1001,A139,$B$2:$B$1001,B139))</f>
        <v/>
      </c>
    </row>
    <row r="140">
      <c r="A140" s="7" t="n"/>
      <c r="B140" s="6" t="n"/>
      <c r="C140" s="6" t="n"/>
      <c r="D140" s="6">
        <f>IF(C140="","",IFERROR(VLOOKUP(C140,Lists!$C:$D,2,FALSE),""))</f>
        <v/>
      </c>
      <c r="E140" s="6" t="n"/>
      <c r="F140" s="6" t="n"/>
      <c r="G140" s="7">
        <f>IF(A140="","",A140+(7-WEEKDAY(A140,2)))</f>
        <v/>
      </c>
      <c r="H140" s="6">
        <f>IF(OR(A140="",B140=""),"",SUMIFS($E$2:$E$1001,$A$2:$A$1001,A140,$B$2:$B$1001,B140))</f>
        <v/>
      </c>
    </row>
    <row r="141">
      <c r="A141" s="7" t="n"/>
      <c r="B141" s="6" t="n"/>
      <c r="C141" s="6" t="n"/>
      <c r="D141" s="6">
        <f>IF(C141="","",IFERROR(VLOOKUP(C141,Lists!$C:$D,2,FALSE),""))</f>
        <v/>
      </c>
      <c r="E141" s="6" t="n"/>
      <c r="F141" s="6" t="n"/>
      <c r="G141" s="7">
        <f>IF(A141="","",A141+(7-WEEKDAY(A141,2)))</f>
        <v/>
      </c>
      <c r="H141" s="6">
        <f>IF(OR(A141="",B141=""),"",SUMIFS($E$2:$E$1001,$A$2:$A$1001,A141,$B$2:$B$1001,B141))</f>
        <v/>
      </c>
    </row>
    <row r="142">
      <c r="A142" s="7" t="n"/>
      <c r="B142" s="6" t="n"/>
      <c r="C142" s="6" t="n"/>
      <c r="D142" s="6">
        <f>IF(C142="","",IFERROR(VLOOKUP(C142,Lists!$C:$D,2,FALSE),""))</f>
        <v/>
      </c>
      <c r="E142" s="6" t="n"/>
      <c r="F142" s="6" t="n"/>
      <c r="G142" s="7">
        <f>IF(A142="","",A142+(7-WEEKDAY(A142,2)))</f>
        <v/>
      </c>
      <c r="H142" s="6">
        <f>IF(OR(A142="",B142=""),"",SUMIFS($E$2:$E$1001,$A$2:$A$1001,A142,$B$2:$B$1001,B142))</f>
        <v/>
      </c>
    </row>
    <row r="143">
      <c r="A143" s="7" t="n"/>
      <c r="B143" s="6" t="n"/>
      <c r="C143" s="6" t="n"/>
      <c r="D143" s="6">
        <f>IF(C143="","",IFERROR(VLOOKUP(C143,Lists!$C:$D,2,FALSE),""))</f>
        <v/>
      </c>
      <c r="E143" s="6" t="n"/>
      <c r="F143" s="6" t="n"/>
      <c r="G143" s="7">
        <f>IF(A143="","",A143+(7-WEEKDAY(A143,2)))</f>
        <v/>
      </c>
      <c r="H143" s="6">
        <f>IF(OR(A143="",B143=""),"",SUMIFS($E$2:$E$1001,$A$2:$A$1001,A143,$B$2:$B$1001,B143))</f>
        <v/>
      </c>
    </row>
    <row r="144">
      <c r="A144" s="7" t="n"/>
      <c r="B144" s="6" t="n"/>
      <c r="C144" s="6" t="n"/>
      <c r="D144" s="6">
        <f>IF(C144="","",IFERROR(VLOOKUP(C144,Lists!$C:$D,2,FALSE),""))</f>
        <v/>
      </c>
      <c r="E144" s="6" t="n"/>
      <c r="F144" s="6" t="n"/>
      <c r="G144" s="7">
        <f>IF(A144="","",A144+(7-WEEKDAY(A144,2)))</f>
        <v/>
      </c>
      <c r="H144" s="6">
        <f>IF(OR(A144="",B144=""),"",SUMIFS($E$2:$E$1001,$A$2:$A$1001,A144,$B$2:$B$1001,B144))</f>
        <v/>
      </c>
    </row>
    <row r="145">
      <c r="A145" s="7" t="n"/>
      <c r="B145" s="6" t="n"/>
      <c r="C145" s="6" t="n"/>
      <c r="D145" s="6">
        <f>IF(C145="","",IFERROR(VLOOKUP(C145,Lists!$C:$D,2,FALSE),""))</f>
        <v/>
      </c>
      <c r="E145" s="6" t="n"/>
      <c r="F145" s="6" t="n"/>
      <c r="G145" s="7">
        <f>IF(A145="","",A145+(7-WEEKDAY(A145,2)))</f>
        <v/>
      </c>
      <c r="H145" s="6">
        <f>IF(OR(A145="",B145=""),"",SUMIFS($E$2:$E$1001,$A$2:$A$1001,A145,$B$2:$B$1001,B145))</f>
        <v/>
      </c>
    </row>
    <row r="146">
      <c r="A146" s="7" t="n"/>
      <c r="B146" s="6" t="n"/>
      <c r="C146" s="6" t="n"/>
      <c r="D146" s="6">
        <f>IF(C146="","",IFERROR(VLOOKUP(C146,Lists!$C:$D,2,FALSE),""))</f>
        <v/>
      </c>
      <c r="E146" s="6" t="n"/>
      <c r="F146" s="6" t="n"/>
      <c r="G146" s="7">
        <f>IF(A146="","",A146+(7-WEEKDAY(A146,2)))</f>
        <v/>
      </c>
      <c r="H146" s="6">
        <f>IF(OR(A146="",B146=""),"",SUMIFS($E$2:$E$1001,$A$2:$A$1001,A146,$B$2:$B$1001,B146))</f>
        <v/>
      </c>
    </row>
    <row r="147">
      <c r="A147" s="7" t="n"/>
      <c r="B147" s="6" t="n"/>
      <c r="C147" s="6" t="n"/>
      <c r="D147" s="6">
        <f>IF(C147="","",IFERROR(VLOOKUP(C147,Lists!$C:$D,2,FALSE),""))</f>
        <v/>
      </c>
      <c r="E147" s="6" t="n"/>
      <c r="F147" s="6" t="n"/>
      <c r="G147" s="7">
        <f>IF(A147="","",A147+(7-WEEKDAY(A147,2)))</f>
        <v/>
      </c>
      <c r="H147" s="6">
        <f>IF(OR(A147="",B147=""),"",SUMIFS($E$2:$E$1001,$A$2:$A$1001,A147,$B$2:$B$1001,B147))</f>
        <v/>
      </c>
    </row>
    <row r="148">
      <c r="A148" s="7" t="n"/>
      <c r="B148" s="6" t="n"/>
      <c r="C148" s="6" t="n"/>
      <c r="D148" s="6">
        <f>IF(C148="","",IFERROR(VLOOKUP(C148,Lists!$C:$D,2,FALSE),""))</f>
        <v/>
      </c>
      <c r="E148" s="6" t="n"/>
      <c r="F148" s="6" t="n"/>
      <c r="G148" s="7">
        <f>IF(A148="","",A148+(7-WEEKDAY(A148,2)))</f>
        <v/>
      </c>
      <c r="H148" s="6">
        <f>IF(OR(A148="",B148=""),"",SUMIFS($E$2:$E$1001,$A$2:$A$1001,A148,$B$2:$B$1001,B148))</f>
        <v/>
      </c>
    </row>
    <row r="149">
      <c r="A149" s="7" t="n"/>
      <c r="B149" s="6" t="n"/>
      <c r="C149" s="6" t="n"/>
      <c r="D149" s="6">
        <f>IF(C149="","",IFERROR(VLOOKUP(C149,Lists!$C:$D,2,FALSE),""))</f>
        <v/>
      </c>
      <c r="E149" s="6" t="n"/>
      <c r="F149" s="6" t="n"/>
      <c r="G149" s="7">
        <f>IF(A149="","",A149+(7-WEEKDAY(A149,2)))</f>
        <v/>
      </c>
      <c r="H149" s="6">
        <f>IF(OR(A149="",B149=""),"",SUMIFS($E$2:$E$1001,$A$2:$A$1001,A149,$B$2:$B$1001,B149))</f>
        <v/>
      </c>
    </row>
    <row r="150">
      <c r="A150" s="7" t="n"/>
      <c r="B150" s="6" t="n"/>
      <c r="C150" s="6" t="n"/>
      <c r="D150" s="6">
        <f>IF(C150="","",IFERROR(VLOOKUP(C150,Lists!$C:$D,2,FALSE),""))</f>
        <v/>
      </c>
      <c r="E150" s="6" t="n"/>
      <c r="F150" s="6" t="n"/>
      <c r="G150" s="7">
        <f>IF(A150="","",A150+(7-WEEKDAY(A150,2)))</f>
        <v/>
      </c>
      <c r="H150" s="6">
        <f>IF(OR(A150="",B150=""),"",SUMIFS($E$2:$E$1001,$A$2:$A$1001,A150,$B$2:$B$1001,B150))</f>
        <v/>
      </c>
    </row>
    <row r="151">
      <c r="A151" s="7" t="n"/>
      <c r="B151" s="6" t="n"/>
      <c r="C151" s="6" t="n"/>
      <c r="D151" s="6">
        <f>IF(C151="","",IFERROR(VLOOKUP(C151,Lists!$C:$D,2,FALSE),""))</f>
        <v/>
      </c>
      <c r="E151" s="6" t="n"/>
      <c r="F151" s="6" t="n"/>
      <c r="G151" s="7">
        <f>IF(A151="","",A151+(7-WEEKDAY(A151,2)))</f>
        <v/>
      </c>
      <c r="H151" s="6">
        <f>IF(OR(A151="",B151=""),"",SUMIFS($E$2:$E$1001,$A$2:$A$1001,A151,$B$2:$B$1001,B151))</f>
        <v/>
      </c>
    </row>
    <row r="152">
      <c r="A152" s="7" t="n"/>
      <c r="B152" s="6" t="n"/>
      <c r="C152" s="6" t="n"/>
      <c r="D152" s="6">
        <f>IF(C152="","",IFERROR(VLOOKUP(C152,Lists!$C:$D,2,FALSE),""))</f>
        <v/>
      </c>
      <c r="E152" s="6" t="n"/>
      <c r="F152" s="6" t="n"/>
      <c r="G152" s="7">
        <f>IF(A152="","",A152+(7-WEEKDAY(A152,2)))</f>
        <v/>
      </c>
      <c r="H152" s="6">
        <f>IF(OR(A152="",B152=""),"",SUMIFS($E$2:$E$1001,$A$2:$A$1001,A152,$B$2:$B$1001,B152))</f>
        <v/>
      </c>
    </row>
    <row r="153">
      <c r="A153" s="7" t="n"/>
      <c r="B153" s="6" t="n"/>
      <c r="C153" s="6" t="n"/>
      <c r="D153" s="6">
        <f>IF(C153="","",IFERROR(VLOOKUP(C153,Lists!$C:$D,2,FALSE),""))</f>
        <v/>
      </c>
      <c r="E153" s="6" t="n"/>
      <c r="F153" s="6" t="n"/>
      <c r="G153" s="7">
        <f>IF(A153="","",A153+(7-WEEKDAY(A153,2)))</f>
        <v/>
      </c>
      <c r="H153" s="6">
        <f>IF(OR(A153="",B153=""),"",SUMIFS($E$2:$E$1001,$A$2:$A$1001,A153,$B$2:$B$1001,B153))</f>
        <v/>
      </c>
    </row>
    <row r="154">
      <c r="A154" s="7" t="n"/>
      <c r="B154" s="6" t="n"/>
      <c r="C154" s="6" t="n"/>
      <c r="D154" s="6">
        <f>IF(C154="","",IFERROR(VLOOKUP(C154,Lists!$C:$D,2,FALSE),""))</f>
        <v/>
      </c>
      <c r="E154" s="6" t="n"/>
      <c r="F154" s="6" t="n"/>
      <c r="G154" s="7">
        <f>IF(A154="","",A154+(7-WEEKDAY(A154,2)))</f>
        <v/>
      </c>
      <c r="H154" s="6">
        <f>IF(OR(A154="",B154=""),"",SUMIFS($E$2:$E$1001,$A$2:$A$1001,A154,$B$2:$B$1001,B154))</f>
        <v/>
      </c>
    </row>
    <row r="155">
      <c r="A155" s="7" t="n"/>
      <c r="B155" s="6" t="n"/>
      <c r="C155" s="6" t="n"/>
      <c r="D155" s="6">
        <f>IF(C155="","",IFERROR(VLOOKUP(C155,Lists!$C:$D,2,FALSE),""))</f>
        <v/>
      </c>
      <c r="E155" s="6" t="n"/>
      <c r="F155" s="6" t="n"/>
      <c r="G155" s="7">
        <f>IF(A155="","",A155+(7-WEEKDAY(A155,2)))</f>
        <v/>
      </c>
      <c r="H155" s="6">
        <f>IF(OR(A155="",B155=""),"",SUMIFS($E$2:$E$1001,$A$2:$A$1001,A155,$B$2:$B$1001,B155))</f>
        <v/>
      </c>
    </row>
    <row r="156">
      <c r="A156" s="7" t="n"/>
      <c r="B156" s="6" t="n"/>
      <c r="C156" s="6" t="n"/>
      <c r="D156" s="6">
        <f>IF(C156="","",IFERROR(VLOOKUP(C156,Lists!$C:$D,2,FALSE),""))</f>
        <v/>
      </c>
      <c r="E156" s="6" t="n"/>
      <c r="F156" s="6" t="n"/>
      <c r="G156" s="7">
        <f>IF(A156="","",A156+(7-WEEKDAY(A156,2)))</f>
        <v/>
      </c>
      <c r="H156" s="6">
        <f>IF(OR(A156="",B156=""),"",SUMIFS($E$2:$E$1001,$A$2:$A$1001,A156,$B$2:$B$1001,B156))</f>
        <v/>
      </c>
    </row>
    <row r="157">
      <c r="A157" s="7" t="n"/>
      <c r="B157" s="6" t="n"/>
      <c r="C157" s="6" t="n"/>
      <c r="D157" s="6">
        <f>IF(C157="","",IFERROR(VLOOKUP(C157,Lists!$C:$D,2,FALSE),""))</f>
        <v/>
      </c>
      <c r="E157" s="6" t="n"/>
      <c r="F157" s="6" t="n"/>
      <c r="G157" s="7">
        <f>IF(A157="","",A157+(7-WEEKDAY(A157,2)))</f>
        <v/>
      </c>
      <c r="H157" s="6">
        <f>IF(OR(A157="",B157=""),"",SUMIFS($E$2:$E$1001,$A$2:$A$1001,A157,$B$2:$B$1001,B157))</f>
        <v/>
      </c>
    </row>
    <row r="158">
      <c r="A158" s="7" t="n"/>
      <c r="B158" s="6" t="n"/>
      <c r="C158" s="6" t="n"/>
      <c r="D158" s="6">
        <f>IF(C158="","",IFERROR(VLOOKUP(C158,Lists!$C:$D,2,FALSE),""))</f>
        <v/>
      </c>
      <c r="E158" s="6" t="n"/>
      <c r="F158" s="6" t="n"/>
      <c r="G158" s="7">
        <f>IF(A158="","",A158+(7-WEEKDAY(A158,2)))</f>
        <v/>
      </c>
      <c r="H158" s="6">
        <f>IF(OR(A158="",B158=""),"",SUMIFS($E$2:$E$1001,$A$2:$A$1001,A158,$B$2:$B$1001,B158))</f>
        <v/>
      </c>
    </row>
    <row r="159">
      <c r="A159" s="7" t="n"/>
      <c r="B159" s="6" t="n"/>
      <c r="C159" s="6" t="n"/>
      <c r="D159" s="6">
        <f>IF(C159="","",IFERROR(VLOOKUP(C159,Lists!$C:$D,2,FALSE),""))</f>
        <v/>
      </c>
      <c r="E159" s="6" t="n"/>
      <c r="F159" s="6" t="n"/>
      <c r="G159" s="7">
        <f>IF(A159="","",A159+(7-WEEKDAY(A159,2)))</f>
        <v/>
      </c>
      <c r="H159" s="6">
        <f>IF(OR(A159="",B159=""),"",SUMIFS($E$2:$E$1001,$A$2:$A$1001,A159,$B$2:$B$1001,B159))</f>
        <v/>
      </c>
    </row>
    <row r="160">
      <c r="A160" s="7" t="n"/>
      <c r="B160" s="6" t="n"/>
      <c r="C160" s="6" t="n"/>
      <c r="D160" s="6">
        <f>IF(C160="","",IFERROR(VLOOKUP(C160,Lists!$C:$D,2,FALSE),""))</f>
        <v/>
      </c>
      <c r="E160" s="6" t="n"/>
      <c r="F160" s="6" t="n"/>
      <c r="G160" s="7">
        <f>IF(A160="","",A160+(7-WEEKDAY(A160,2)))</f>
        <v/>
      </c>
      <c r="H160" s="6">
        <f>IF(OR(A160="",B160=""),"",SUMIFS($E$2:$E$1001,$A$2:$A$1001,A160,$B$2:$B$1001,B160))</f>
        <v/>
      </c>
    </row>
    <row r="161">
      <c r="A161" s="7" t="n"/>
      <c r="B161" s="6" t="n"/>
      <c r="C161" s="6" t="n"/>
      <c r="D161" s="6">
        <f>IF(C161="","",IFERROR(VLOOKUP(C161,Lists!$C:$D,2,FALSE),""))</f>
        <v/>
      </c>
      <c r="E161" s="6" t="n"/>
      <c r="F161" s="6" t="n"/>
      <c r="G161" s="7">
        <f>IF(A161="","",A161+(7-WEEKDAY(A161,2)))</f>
        <v/>
      </c>
      <c r="H161" s="6">
        <f>IF(OR(A161="",B161=""),"",SUMIFS($E$2:$E$1001,$A$2:$A$1001,A161,$B$2:$B$1001,B161))</f>
        <v/>
      </c>
    </row>
    <row r="162">
      <c r="A162" s="7" t="n"/>
      <c r="B162" s="6" t="n"/>
      <c r="C162" s="6" t="n"/>
      <c r="D162" s="6">
        <f>IF(C162="","",IFERROR(VLOOKUP(C162,Lists!$C:$D,2,FALSE),""))</f>
        <v/>
      </c>
      <c r="E162" s="6" t="n"/>
      <c r="F162" s="6" t="n"/>
      <c r="G162" s="7">
        <f>IF(A162="","",A162+(7-WEEKDAY(A162,2)))</f>
        <v/>
      </c>
      <c r="H162" s="6">
        <f>IF(OR(A162="",B162=""),"",SUMIFS($E$2:$E$1001,$A$2:$A$1001,A162,$B$2:$B$1001,B162))</f>
        <v/>
      </c>
    </row>
    <row r="163">
      <c r="A163" s="7" t="n"/>
      <c r="B163" s="6" t="n"/>
      <c r="C163" s="6" t="n"/>
      <c r="D163" s="6">
        <f>IF(C163="","",IFERROR(VLOOKUP(C163,Lists!$C:$D,2,FALSE),""))</f>
        <v/>
      </c>
      <c r="E163" s="6" t="n"/>
      <c r="F163" s="6" t="n"/>
      <c r="G163" s="7">
        <f>IF(A163="","",A163+(7-WEEKDAY(A163,2)))</f>
        <v/>
      </c>
      <c r="H163" s="6">
        <f>IF(OR(A163="",B163=""),"",SUMIFS($E$2:$E$1001,$A$2:$A$1001,A163,$B$2:$B$1001,B163))</f>
        <v/>
      </c>
    </row>
    <row r="164">
      <c r="A164" s="7" t="n"/>
      <c r="B164" s="6" t="n"/>
      <c r="C164" s="6" t="n"/>
      <c r="D164" s="6">
        <f>IF(C164="","",IFERROR(VLOOKUP(C164,Lists!$C:$D,2,FALSE),""))</f>
        <v/>
      </c>
      <c r="E164" s="6" t="n"/>
      <c r="F164" s="6" t="n"/>
      <c r="G164" s="7">
        <f>IF(A164="","",A164+(7-WEEKDAY(A164,2)))</f>
        <v/>
      </c>
      <c r="H164" s="6">
        <f>IF(OR(A164="",B164=""),"",SUMIFS($E$2:$E$1001,$A$2:$A$1001,A164,$B$2:$B$1001,B164))</f>
        <v/>
      </c>
    </row>
    <row r="165">
      <c r="A165" s="7" t="n"/>
      <c r="B165" s="6" t="n"/>
      <c r="C165" s="6" t="n"/>
      <c r="D165" s="6">
        <f>IF(C165="","",IFERROR(VLOOKUP(C165,Lists!$C:$D,2,FALSE),""))</f>
        <v/>
      </c>
      <c r="E165" s="6" t="n"/>
      <c r="F165" s="6" t="n"/>
      <c r="G165" s="7">
        <f>IF(A165="","",A165+(7-WEEKDAY(A165,2)))</f>
        <v/>
      </c>
      <c r="H165" s="6">
        <f>IF(OR(A165="",B165=""),"",SUMIFS($E$2:$E$1001,$A$2:$A$1001,A165,$B$2:$B$1001,B165))</f>
        <v/>
      </c>
    </row>
    <row r="166">
      <c r="A166" s="7" t="n"/>
      <c r="B166" s="6" t="n"/>
      <c r="C166" s="6" t="n"/>
      <c r="D166" s="6">
        <f>IF(C166="","",IFERROR(VLOOKUP(C166,Lists!$C:$D,2,FALSE),""))</f>
        <v/>
      </c>
      <c r="E166" s="6" t="n"/>
      <c r="F166" s="6" t="n"/>
      <c r="G166" s="7">
        <f>IF(A166="","",A166+(7-WEEKDAY(A166,2)))</f>
        <v/>
      </c>
      <c r="H166" s="6">
        <f>IF(OR(A166="",B166=""),"",SUMIFS($E$2:$E$1001,$A$2:$A$1001,A166,$B$2:$B$1001,B166))</f>
        <v/>
      </c>
    </row>
    <row r="167">
      <c r="A167" s="7" t="n"/>
      <c r="B167" s="6" t="n"/>
      <c r="C167" s="6" t="n"/>
      <c r="D167" s="6">
        <f>IF(C167="","",IFERROR(VLOOKUP(C167,Lists!$C:$D,2,FALSE),""))</f>
        <v/>
      </c>
      <c r="E167" s="6" t="n"/>
      <c r="F167" s="6" t="n"/>
      <c r="G167" s="7">
        <f>IF(A167="","",A167+(7-WEEKDAY(A167,2)))</f>
        <v/>
      </c>
      <c r="H167" s="6">
        <f>IF(OR(A167="",B167=""),"",SUMIFS($E$2:$E$1001,$A$2:$A$1001,A167,$B$2:$B$1001,B167))</f>
        <v/>
      </c>
    </row>
    <row r="168">
      <c r="A168" s="7" t="n"/>
      <c r="B168" s="6" t="n"/>
      <c r="C168" s="6" t="n"/>
      <c r="D168" s="6">
        <f>IF(C168="","",IFERROR(VLOOKUP(C168,Lists!$C:$D,2,FALSE),""))</f>
        <v/>
      </c>
      <c r="E168" s="6" t="n"/>
      <c r="F168" s="6" t="n"/>
      <c r="G168" s="7">
        <f>IF(A168="","",A168+(7-WEEKDAY(A168,2)))</f>
        <v/>
      </c>
      <c r="H168" s="6">
        <f>IF(OR(A168="",B168=""),"",SUMIFS($E$2:$E$1001,$A$2:$A$1001,A168,$B$2:$B$1001,B168))</f>
        <v/>
      </c>
    </row>
    <row r="169">
      <c r="A169" s="7" t="n"/>
      <c r="B169" s="6" t="n"/>
      <c r="C169" s="6" t="n"/>
      <c r="D169" s="6">
        <f>IF(C169="","",IFERROR(VLOOKUP(C169,Lists!$C:$D,2,FALSE),""))</f>
        <v/>
      </c>
      <c r="E169" s="6" t="n"/>
      <c r="F169" s="6" t="n"/>
      <c r="G169" s="7">
        <f>IF(A169="","",A169+(7-WEEKDAY(A169,2)))</f>
        <v/>
      </c>
      <c r="H169" s="6">
        <f>IF(OR(A169="",B169=""),"",SUMIFS($E$2:$E$1001,$A$2:$A$1001,A169,$B$2:$B$1001,B169))</f>
        <v/>
      </c>
    </row>
    <row r="170">
      <c r="A170" s="7" t="n"/>
      <c r="B170" s="6" t="n"/>
      <c r="C170" s="6" t="n"/>
      <c r="D170" s="6">
        <f>IF(C170="","",IFERROR(VLOOKUP(C170,Lists!$C:$D,2,FALSE),""))</f>
        <v/>
      </c>
      <c r="E170" s="6" t="n"/>
      <c r="F170" s="6" t="n"/>
      <c r="G170" s="7">
        <f>IF(A170="","",A170+(7-WEEKDAY(A170,2)))</f>
        <v/>
      </c>
      <c r="H170" s="6">
        <f>IF(OR(A170="",B170=""),"",SUMIFS($E$2:$E$1001,$A$2:$A$1001,A170,$B$2:$B$1001,B170))</f>
        <v/>
      </c>
    </row>
    <row r="171">
      <c r="A171" s="7" t="n"/>
      <c r="B171" s="6" t="n"/>
      <c r="C171" s="6" t="n"/>
      <c r="D171" s="6">
        <f>IF(C171="","",IFERROR(VLOOKUP(C171,Lists!$C:$D,2,FALSE),""))</f>
        <v/>
      </c>
      <c r="E171" s="6" t="n"/>
      <c r="F171" s="6" t="n"/>
      <c r="G171" s="7">
        <f>IF(A171="","",A171+(7-WEEKDAY(A171,2)))</f>
        <v/>
      </c>
      <c r="H171" s="6">
        <f>IF(OR(A171="",B171=""),"",SUMIFS($E$2:$E$1001,$A$2:$A$1001,A171,$B$2:$B$1001,B171))</f>
        <v/>
      </c>
    </row>
    <row r="172">
      <c r="A172" s="7" t="n"/>
      <c r="B172" s="6" t="n"/>
      <c r="C172" s="6" t="n"/>
      <c r="D172" s="6">
        <f>IF(C172="","",IFERROR(VLOOKUP(C172,Lists!$C:$D,2,FALSE),""))</f>
        <v/>
      </c>
      <c r="E172" s="6" t="n"/>
      <c r="F172" s="6" t="n"/>
      <c r="G172" s="7">
        <f>IF(A172="","",A172+(7-WEEKDAY(A172,2)))</f>
        <v/>
      </c>
      <c r="H172" s="6">
        <f>IF(OR(A172="",B172=""),"",SUMIFS($E$2:$E$1001,$A$2:$A$1001,A172,$B$2:$B$1001,B172))</f>
        <v/>
      </c>
    </row>
    <row r="173">
      <c r="A173" s="7" t="n"/>
      <c r="B173" s="6" t="n"/>
      <c r="C173" s="6" t="n"/>
      <c r="D173" s="6">
        <f>IF(C173="","",IFERROR(VLOOKUP(C173,Lists!$C:$D,2,FALSE),""))</f>
        <v/>
      </c>
      <c r="E173" s="6" t="n"/>
      <c r="F173" s="6" t="n"/>
      <c r="G173" s="7">
        <f>IF(A173="","",A173+(7-WEEKDAY(A173,2)))</f>
        <v/>
      </c>
      <c r="H173" s="6">
        <f>IF(OR(A173="",B173=""),"",SUMIFS($E$2:$E$1001,$A$2:$A$1001,A173,$B$2:$B$1001,B173))</f>
        <v/>
      </c>
    </row>
    <row r="174">
      <c r="A174" s="7" t="n"/>
      <c r="B174" s="6" t="n"/>
      <c r="C174" s="6" t="n"/>
      <c r="D174" s="6">
        <f>IF(C174="","",IFERROR(VLOOKUP(C174,Lists!$C:$D,2,FALSE),""))</f>
        <v/>
      </c>
      <c r="E174" s="6" t="n"/>
      <c r="F174" s="6" t="n"/>
      <c r="G174" s="7">
        <f>IF(A174="","",A174+(7-WEEKDAY(A174,2)))</f>
        <v/>
      </c>
      <c r="H174" s="6">
        <f>IF(OR(A174="",B174=""),"",SUMIFS($E$2:$E$1001,$A$2:$A$1001,A174,$B$2:$B$1001,B174))</f>
        <v/>
      </c>
    </row>
    <row r="175">
      <c r="A175" s="7" t="n"/>
      <c r="B175" s="6" t="n"/>
      <c r="C175" s="6" t="n"/>
      <c r="D175" s="6">
        <f>IF(C175="","",IFERROR(VLOOKUP(C175,Lists!$C:$D,2,FALSE),""))</f>
        <v/>
      </c>
      <c r="E175" s="6" t="n"/>
      <c r="F175" s="6" t="n"/>
      <c r="G175" s="7">
        <f>IF(A175="","",A175+(7-WEEKDAY(A175,2)))</f>
        <v/>
      </c>
      <c r="H175" s="6">
        <f>IF(OR(A175="",B175=""),"",SUMIFS($E$2:$E$1001,$A$2:$A$1001,A175,$B$2:$B$1001,B175))</f>
        <v/>
      </c>
    </row>
    <row r="176">
      <c r="A176" s="7" t="n"/>
      <c r="B176" s="6" t="n"/>
      <c r="C176" s="6" t="n"/>
      <c r="D176" s="6">
        <f>IF(C176="","",IFERROR(VLOOKUP(C176,Lists!$C:$D,2,FALSE),""))</f>
        <v/>
      </c>
      <c r="E176" s="6" t="n"/>
      <c r="F176" s="6" t="n"/>
      <c r="G176" s="7">
        <f>IF(A176="","",A176+(7-WEEKDAY(A176,2)))</f>
        <v/>
      </c>
      <c r="H176" s="6">
        <f>IF(OR(A176="",B176=""),"",SUMIFS($E$2:$E$1001,$A$2:$A$1001,A176,$B$2:$B$1001,B176))</f>
        <v/>
      </c>
    </row>
    <row r="177">
      <c r="A177" s="7" t="n"/>
      <c r="B177" s="6" t="n"/>
      <c r="C177" s="6" t="n"/>
      <c r="D177" s="6">
        <f>IF(C177="","",IFERROR(VLOOKUP(C177,Lists!$C:$D,2,FALSE),""))</f>
        <v/>
      </c>
      <c r="E177" s="6" t="n"/>
      <c r="F177" s="6" t="n"/>
      <c r="G177" s="7">
        <f>IF(A177="","",A177+(7-WEEKDAY(A177,2)))</f>
        <v/>
      </c>
      <c r="H177" s="6">
        <f>IF(OR(A177="",B177=""),"",SUMIFS($E$2:$E$1001,$A$2:$A$1001,A177,$B$2:$B$1001,B177))</f>
        <v/>
      </c>
    </row>
    <row r="178">
      <c r="A178" s="7" t="n"/>
      <c r="B178" s="6" t="n"/>
      <c r="C178" s="6" t="n"/>
      <c r="D178" s="6">
        <f>IF(C178="","",IFERROR(VLOOKUP(C178,Lists!$C:$D,2,FALSE),""))</f>
        <v/>
      </c>
      <c r="E178" s="6" t="n"/>
      <c r="F178" s="6" t="n"/>
      <c r="G178" s="7">
        <f>IF(A178="","",A178+(7-WEEKDAY(A178,2)))</f>
        <v/>
      </c>
      <c r="H178" s="6">
        <f>IF(OR(A178="",B178=""),"",SUMIFS($E$2:$E$1001,$A$2:$A$1001,A178,$B$2:$B$1001,B178))</f>
        <v/>
      </c>
    </row>
    <row r="179">
      <c r="A179" s="7" t="n"/>
      <c r="B179" s="6" t="n"/>
      <c r="C179" s="6" t="n"/>
      <c r="D179" s="6">
        <f>IF(C179="","",IFERROR(VLOOKUP(C179,Lists!$C:$D,2,FALSE),""))</f>
        <v/>
      </c>
      <c r="E179" s="6" t="n"/>
      <c r="F179" s="6" t="n"/>
      <c r="G179" s="7">
        <f>IF(A179="","",A179+(7-WEEKDAY(A179,2)))</f>
        <v/>
      </c>
      <c r="H179" s="6">
        <f>IF(OR(A179="",B179=""),"",SUMIFS($E$2:$E$1001,$A$2:$A$1001,A179,$B$2:$B$1001,B179))</f>
        <v/>
      </c>
    </row>
    <row r="180">
      <c r="A180" s="7" t="n"/>
      <c r="B180" s="6" t="n"/>
      <c r="C180" s="6" t="n"/>
      <c r="D180" s="6">
        <f>IF(C180="","",IFERROR(VLOOKUP(C180,Lists!$C:$D,2,FALSE),""))</f>
        <v/>
      </c>
      <c r="E180" s="6" t="n"/>
      <c r="F180" s="6" t="n"/>
      <c r="G180" s="7">
        <f>IF(A180="","",A180+(7-WEEKDAY(A180,2)))</f>
        <v/>
      </c>
      <c r="H180" s="6">
        <f>IF(OR(A180="",B180=""),"",SUMIFS($E$2:$E$1001,$A$2:$A$1001,A180,$B$2:$B$1001,B180))</f>
        <v/>
      </c>
    </row>
    <row r="181">
      <c r="A181" s="7" t="n"/>
      <c r="B181" s="6" t="n"/>
      <c r="C181" s="6" t="n"/>
      <c r="D181" s="6">
        <f>IF(C181="","",IFERROR(VLOOKUP(C181,Lists!$C:$D,2,FALSE),""))</f>
        <v/>
      </c>
      <c r="E181" s="6" t="n"/>
      <c r="F181" s="6" t="n"/>
      <c r="G181" s="7">
        <f>IF(A181="","",A181+(7-WEEKDAY(A181,2)))</f>
        <v/>
      </c>
      <c r="H181" s="6">
        <f>IF(OR(A181="",B181=""),"",SUMIFS($E$2:$E$1001,$A$2:$A$1001,A181,$B$2:$B$1001,B181))</f>
        <v/>
      </c>
    </row>
    <row r="182">
      <c r="A182" s="7" t="n"/>
      <c r="B182" s="6" t="n"/>
      <c r="C182" s="6" t="n"/>
      <c r="D182" s="6">
        <f>IF(C182="","",IFERROR(VLOOKUP(C182,Lists!$C:$D,2,FALSE),""))</f>
        <v/>
      </c>
      <c r="E182" s="6" t="n"/>
      <c r="F182" s="6" t="n"/>
      <c r="G182" s="7">
        <f>IF(A182="","",A182+(7-WEEKDAY(A182,2)))</f>
        <v/>
      </c>
      <c r="H182" s="6">
        <f>IF(OR(A182="",B182=""),"",SUMIFS($E$2:$E$1001,$A$2:$A$1001,A182,$B$2:$B$1001,B182))</f>
        <v/>
      </c>
    </row>
    <row r="183">
      <c r="A183" s="7" t="n"/>
      <c r="B183" s="6" t="n"/>
      <c r="C183" s="6" t="n"/>
      <c r="D183" s="6">
        <f>IF(C183="","",IFERROR(VLOOKUP(C183,Lists!$C:$D,2,FALSE),""))</f>
        <v/>
      </c>
      <c r="E183" s="6" t="n"/>
      <c r="F183" s="6" t="n"/>
      <c r="G183" s="7">
        <f>IF(A183="","",A183+(7-WEEKDAY(A183,2)))</f>
        <v/>
      </c>
      <c r="H183" s="6">
        <f>IF(OR(A183="",B183=""),"",SUMIFS($E$2:$E$1001,$A$2:$A$1001,A183,$B$2:$B$1001,B183))</f>
        <v/>
      </c>
    </row>
    <row r="184">
      <c r="A184" s="7" t="n"/>
      <c r="B184" s="6" t="n"/>
      <c r="C184" s="6" t="n"/>
      <c r="D184" s="6">
        <f>IF(C184="","",IFERROR(VLOOKUP(C184,Lists!$C:$D,2,FALSE),""))</f>
        <v/>
      </c>
      <c r="E184" s="6" t="n"/>
      <c r="F184" s="6" t="n"/>
      <c r="G184" s="7">
        <f>IF(A184="","",A184+(7-WEEKDAY(A184,2)))</f>
        <v/>
      </c>
      <c r="H184" s="6">
        <f>IF(OR(A184="",B184=""),"",SUMIFS($E$2:$E$1001,$A$2:$A$1001,A184,$B$2:$B$1001,B184))</f>
        <v/>
      </c>
    </row>
    <row r="185">
      <c r="A185" s="7" t="n"/>
      <c r="B185" s="6" t="n"/>
      <c r="C185" s="6" t="n"/>
      <c r="D185" s="6">
        <f>IF(C185="","",IFERROR(VLOOKUP(C185,Lists!$C:$D,2,FALSE),""))</f>
        <v/>
      </c>
      <c r="E185" s="6" t="n"/>
      <c r="F185" s="6" t="n"/>
      <c r="G185" s="7">
        <f>IF(A185="","",A185+(7-WEEKDAY(A185,2)))</f>
        <v/>
      </c>
      <c r="H185" s="6">
        <f>IF(OR(A185="",B185=""),"",SUMIFS($E$2:$E$1001,$A$2:$A$1001,A185,$B$2:$B$1001,B185))</f>
        <v/>
      </c>
    </row>
    <row r="186">
      <c r="A186" s="7" t="n"/>
      <c r="B186" s="6" t="n"/>
      <c r="C186" s="6" t="n"/>
      <c r="D186" s="6">
        <f>IF(C186="","",IFERROR(VLOOKUP(C186,Lists!$C:$D,2,FALSE),""))</f>
        <v/>
      </c>
      <c r="E186" s="6" t="n"/>
      <c r="F186" s="6" t="n"/>
      <c r="G186" s="7">
        <f>IF(A186="","",A186+(7-WEEKDAY(A186,2)))</f>
        <v/>
      </c>
      <c r="H186" s="6">
        <f>IF(OR(A186="",B186=""),"",SUMIFS($E$2:$E$1001,$A$2:$A$1001,A186,$B$2:$B$1001,B186))</f>
        <v/>
      </c>
    </row>
    <row r="187">
      <c r="A187" s="7" t="n"/>
      <c r="B187" s="6" t="n"/>
      <c r="C187" s="6" t="n"/>
      <c r="D187" s="6">
        <f>IF(C187="","",IFERROR(VLOOKUP(C187,Lists!$C:$D,2,FALSE),""))</f>
        <v/>
      </c>
      <c r="E187" s="6" t="n"/>
      <c r="F187" s="6" t="n"/>
      <c r="G187" s="7">
        <f>IF(A187="","",A187+(7-WEEKDAY(A187,2)))</f>
        <v/>
      </c>
      <c r="H187" s="6">
        <f>IF(OR(A187="",B187=""),"",SUMIFS($E$2:$E$1001,$A$2:$A$1001,A187,$B$2:$B$1001,B187))</f>
        <v/>
      </c>
    </row>
    <row r="188">
      <c r="A188" s="7" t="n"/>
      <c r="B188" s="6" t="n"/>
      <c r="C188" s="6" t="n"/>
      <c r="D188" s="6">
        <f>IF(C188="","",IFERROR(VLOOKUP(C188,Lists!$C:$D,2,FALSE),""))</f>
        <v/>
      </c>
      <c r="E188" s="6" t="n"/>
      <c r="F188" s="6" t="n"/>
      <c r="G188" s="7">
        <f>IF(A188="","",A188+(7-WEEKDAY(A188,2)))</f>
        <v/>
      </c>
      <c r="H188" s="6">
        <f>IF(OR(A188="",B188=""),"",SUMIFS($E$2:$E$1001,$A$2:$A$1001,A188,$B$2:$B$1001,B188))</f>
        <v/>
      </c>
    </row>
    <row r="189">
      <c r="A189" s="7" t="n"/>
      <c r="B189" s="6" t="n"/>
      <c r="C189" s="6" t="n"/>
      <c r="D189" s="6">
        <f>IF(C189="","",IFERROR(VLOOKUP(C189,Lists!$C:$D,2,FALSE),""))</f>
        <v/>
      </c>
      <c r="E189" s="6" t="n"/>
      <c r="F189" s="6" t="n"/>
      <c r="G189" s="7">
        <f>IF(A189="","",A189+(7-WEEKDAY(A189,2)))</f>
        <v/>
      </c>
      <c r="H189" s="6">
        <f>IF(OR(A189="",B189=""),"",SUMIFS($E$2:$E$1001,$A$2:$A$1001,A189,$B$2:$B$1001,B189))</f>
        <v/>
      </c>
    </row>
    <row r="190">
      <c r="A190" s="7" t="n"/>
      <c r="B190" s="6" t="n"/>
      <c r="C190" s="6" t="n"/>
      <c r="D190" s="6">
        <f>IF(C190="","",IFERROR(VLOOKUP(C190,Lists!$C:$D,2,FALSE),""))</f>
        <v/>
      </c>
      <c r="E190" s="6" t="n"/>
      <c r="F190" s="6" t="n"/>
      <c r="G190" s="7">
        <f>IF(A190="","",A190+(7-WEEKDAY(A190,2)))</f>
        <v/>
      </c>
      <c r="H190" s="6">
        <f>IF(OR(A190="",B190=""),"",SUMIFS($E$2:$E$1001,$A$2:$A$1001,A190,$B$2:$B$1001,B190))</f>
        <v/>
      </c>
    </row>
    <row r="191">
      <c r="A191" s="7" t="n"/>
      <c r="B191" s="6" t="n"/>
      <c r="C191" s="6" t="n"/>
      <c r="D191" s="6">
        <f>IF(C191="","",IFERROR(VLOOKUP(C191,Lists!$C:$D,2,FALSE),""))</f>
        <v/>
      </c>
      <c r="E191" s="6" t="n"/>
      <c r="F191" s="6" t="n"/>
      <c r="G191" s="7">
        <f>IF(A191="","",A191+(7-WEEKDAY(A191,2)))</f>
        <v/>
      </c>
      <c r="H191" s="6">
        <f>IF(OR(A191="",B191=""),"",SUMIFS($E$2:$E$1001,$A$2:$A$1001,A191,$B$2:$B$1001,B191))</f>
        <v/>
      </c>
    </row>
    <row r="192">
      <c r="A192" s="7" t="n"/>
      <c r="B192" s="6" t="n"/>
      <c r="C192" s="6" t="n"/>
      <c r="D192" s="6">
        <f>IF(C192="","",IFERROR(VLOOKUP(C192,Lists!$C:$D,2,FALSE),""))</f>
        <v/>
      </c>
      <c r="E192" s="6" t="n"/>
      <c r="F192" s="6" t="n"/>
      <c r="G192" s="7">
        <f>IF(A192="","",A192+(7-WEEKDAY(A192,2)))</f>
        <v/>
      </c>
      <c r="H192" s="6">
        <f>IF(OR(A192="",B192=""),"",SUMIFS($E$2:$E$1001,$A$2:$A$1001,A192,$B$2:$B$1001,B192))</f>
        <v/>
      </c>
    </row>
    <row r="193">
      <c r="A193" s="7" t="n"/>
      <c r="B193" s="6" t="n"/>
      <c r="C193" s="6" t="n"/>
      <c r="D193" s="6">
        <f>IF(C193="","",IFERROR(VLOOKUP(C193,Lists!$C:$D,2,FALSE),""))</f>
        <v/>
      </c>
      <c r="E193" s="6" t="n"/>
      <c r="F193" s="6" t="n"/>
      <c r="G193" s="7">
        <f>IF(A193="","",A193+(7-WEEKDAY(A193,2)))</f>
        <v/>
      </c>
      <c r="H193" s="6">
        <f>IF(OR(A193="",B193=""),"",SUMIFS($E$2:$E$1001,$A$2:$A$1001,A193,$B$2:$B$1001,B193))</f>
        <v/>
      </c>
    </row>
    <row r="194">
      <c r="A194" s="7" t="n"/>
      <c r="B194" s="6" t="n"/>
      <c r="C194" s="6" t="n"/>
      <c r="D194" s="6">
        <f>IF(C194="","",IFERROR(VLOOKUP(C194,Lists!$C:$D,2,FALSE),""))</f>
        <v/>
      </c>
      <c r="E194" s="6" t="n"/>
      <c r="F194" s="6" t="n"/>
      <c r="G194" s="7">
        <f>IF(A194="","",A194+(7-WEEKDAY(A194,2)))</f>
        <v/>
      </c>
      <c r="H194" s="6">
        <f>IF(OR(A194="",B194=""),"",SUMIFS($E$2:$E$1001,$A$2:$A$1001,A194,$B$2:$B$1001,B194))</f>
        <v/>
      </c>
    </row>
    <row r="195">
      <c r="A195" s="7" t="n"/>
      <c r="B195" s="6" t="n"/>
      <c r="C195" s="6" t="n"/>
      <c r="D195" s="6">
        <f>IF(C195="","",IFERROR(VLOOKUP(C195,Lists!$C:$D,2,FALSE),""))</f>
        <v/>
      </c>
      <c r="E195" s="6" t="n"/>
      <c r="F195" s="6" t="n"/>
      <c r="G195" s="7">
        <f>IF(A195="","",A195+(7-WEEKDAY(A195,2)))</f>
        <v/>
      </c>
      <c r="H195" s="6">
        <f>IF(OR(A195="",B195=""),"",SUMIFS($E$2:$E$1001,$A$2:$A$1001,A195,$B$2:$B$1001,B195))</f>
        <v/>
      </c>
    </row>
    <row r="196">
      <c r="A196" s="7" t="n"/>
      <c r="B196" s="6" t="n"/>
      <c r="C196" s="6" t="n"/>
      <c r="D196" s="6">
        <f>IF(C196="","",IFERROR(VLOOKUP(C196,Lists!$C:$D,2,FALSE),""))</f>
        <v/>
      </c>
      <c r="E196" s="6" t="n"/>
      <c r="F196" s="6" t="n"/>
      <c r="G196" s="7">
        <f>IF(A196="","",A196+(7-WEEKDAY(A196,2)))</f>
        <v/>
      </c>
      <c r="H196" s="6">
        <f>IF(OR(A196="",B196=""),"",SUMIFS($E$2:$E$1001,$A$2:$A$1001,A196,$B$2:$B$1001,B196))</f>
        <v/>
      </c>
    </row>
    <row r="197">
      <c r="A197" s="7" t="n"/>
      <c r="B197" s="6" t="n"/>
      <c r="C197" s="6" t="n"/>
      <c r="D197" s="6">
        <f>IF(C197="","",IFERROR(VLOOKUP(C197,Lists!$C:$D,2,FALSE),""))</f>
        <v/>
      </c>
      <c r="E197" s="6" t="n"/>
      <c r="F197" s="6" t="n"/>
      <c r="G197" s="7">
        <f>IF(A197="","",A197+(7-WEEKDAY(A197,2)))</f>
        <v/>
      </c>
      <c r="H197" s="6">
        <f>IF(OR(A197="",B197=""),"",SUMIFS($E$2:$E$1001,$A$2:$A$1001,A197,$B$2:$B$1001,B197))</f>
        <v/>
      </c>
    </row>
    <row r="198">
      <c r="A198" s="7" t="n"/>
      <c r="B198" s="6" t="n"/>
      <c r="C198" s="6" t="n"/>
      <c r="D198" s="6">
        <f>IF(C198="","",IFERROR(VLOOKUP(C198,Lists!$C:$D,2,FALSE),""))</f>
        <v/>
      </c>
      <c r="E198" s="6" t="n"/>
      <c r="F198" s="6" t="n"/>
      <c r="G198" s="7">
        <f>IF(A198="","",A198+(7-WEEKDAY(A198,2)))</f>
        <v/>
      </c>
      <c r="H198" s="6">
        <f>IF(OR(A198="",B198=""),"",SUMIFS($E$2:$E$1001,$A$2:$A$1001,A198,$B$2:$B$1001,B198))</f>
        <v/>
      </c>
    </row>
    <row r="199">
      <c r="A199" s="7" t="n"/>
      <c r="B199" s="6" t="n"/>
      <c r="C199" s="6" t="n"/>
      <c r="D199" s="6">
        <f>IF(C199="","",IFERROR(VLOOKUP(C199,Lists!$C:$D,2,FALSE),""))</f>
        <v/>
      </c>
      <c r="E199" s="6" t="n"/>
      <c r="F199" s="6" t="n"/>
      <c r="G199" s="7">
        <f>IF(A199="","",A199+(7-WEEKDAY(A199,2)))</f>
        <v/>
      </c>
      <c r="H199" s="6">
        <f>IF(OR(A199="",B199=""),"",SUMIFS($E$2:$E$1001,$A$2:$A$1001,A199,$B$2:$B$1001,B199))</f>
        <v/>
      </c>
    </row>
    <row r="200">
      <c r="A200" s="7" t="n"/>
      <c r="B200" s="6" t="n"/>
      <c r="C200" s="6" t="n"/>
      <c r="D200" s="6">
        <f>IF(C200="","",IFERROR(VLOOKUP(C200,Lists!$C:$D,2,FALSE),""))</f>
        <v/>
      </c>
      <c r="E200" s="6" t="n"/>
      <c r="F200" s="6" t="n"/>
      <c r="G200" s="7">
        <f>IF(A200="","",A200+(7-WEEKDAY(A200,2)))</f>
        <v/>
      </c>
      <c r="H200" s="6">
        <f>IF(OR(A200="",B200=""),"",SUMIFS($E$2:$E$1001,$A$2:$A$1001,A200,$B$2:$B$1001,B200))</f>
        <v/>
      </c>
    </row>
    <row r="201">
      <c r="A201" s="7" t="n"/>
      <c r="B201" s="6" t="n"/>
      <c r="C201" s="6" t="n"/>
      <c r="D201" s="6">
        <f>IF(C201="","",IFERROR(VLOOKUP(C201,Lists!$C:$D,2,FALSE),""))</f>
        <v/>
      </c>
      <c r="E201" s="6" t="n"/>
      <c r="F201" s="6" t="n"/>
      <c r="G201" s="7">
        <f>IF(A201="","",A201+(7-WEEKDAY(A201,2)))</f>
        <v/>
      </c>
      <c r="H201" s="6">
        <f>IF(OR(A201="",B201=""),"",SUMIFS($E$2:$E$1001,$A$2:$A$1001,A201,$B$2:$B$1001,B201))</f>
        <v/>
      </c>
    </row>
    <row r="202">
      <c r="A202" s="7" t="n"/>
      <c r="B202" s="6" t="n"/>
      <c r="C202" s="6" t="n"/>
      <c r="D202" s="6">
        <f>IF(C202="","",IFERROR(VLOOKUP(C202,Lists!$C:$D,2,FALSE),""))</f>
        <v/>
      </c>
      <c r="E202" s="6" t="n"/>
      <c r="F202" s="6" t="n"/>
      <c r="G202" s="7">
        <f>IF(A202="","",A202+(7-WEEKDAY(A202,2)))</f>
        <v/>
      </c>
      <c r="H202" s="6">
        <f>IF(OR(A202="",B202=""),"",SUMIFS($E$2:$E$1001,$A$2:$A$1001,A202,$B$2:$B$1001,B202))</f>
        <v/>
      </c>
    </row>
    <row r="203">
      <c r="A203" s="7" t="n"/>
      <c r="B203" s="6" t="n"/>
      <c r="C203" s="6" t="n"/>
      <c r="D203" s="6">
        <f>IF(C203="","",IFERROR(VLOOKUP(C203,Lists!$C:$D,2,FALSE),""))</f>
        <v/>
      </c>
      <c r="E203" s="6" t="n"/>
      <c r="F203" s="6" t="n"/>
      <c r="G203" s="7">
        <f>IF(A203="","",A203+(7-WEEKDAY(A203,2)))</f>
        <v/>
      </c>
      <c r="H203" s="6">
        <f>IF(OR(A203="",B203=""),"",SUMIFS($E$2:$E$1001,$A$2:$A$1001,A203,$B$2:$B$1001,B203))</f>
        <v/>
      </c>
    </row>
    <row r="204">
      <c r="A204" s="7" t="n"/>
      <c r="B204" s="6" t="n"/>
      <c r="C204" s="6" t="n"/>
      <c r="D204" s="6">
        <f>IF(C204="","",IFERROR(VLOOKUP(C204,Lists!$C:$D,2,FALSE),""))</f>
        <v/>
      </c>
      <c r="E204" s="6" t="n"/>
      <c r="F204" s="6" t="n"/>
      <c r="G204" s="7">
        <f>IF(A204="","",A204+(7-WEEKDAY(A204,2)))</f>
        <v/>
      </c>
      <c r="H204" s="6">
        <f>IF(OR(A204="",B204=""),"",SUMIFS($E$2:$E$1001,$A$2:$A$1001,A204,$B$2:$B$1001,B204))</f>
        <v/>
      </c>
    </row>
    <row r="205">
      <c r="A205" s="7" t="n"/>
      <c r="B205" s="6" t="n"/>
      <c r="C205" s="6" t="n"/>
      <c r="D205" s="6">
        <f>IF(C205="","",IFERROR(VLOOKUP(C205,Lists!$C:$D,2,FALSE),""))</f>
        <v/>
      </c>
      <c r="E205" s="6" t="n"/>
      <c r="F205" s="6" t="n"/>
      <c r="G205" s="7">
        <f>IF(A205="","",A205+(7-WEEKDAY(A205,2)))</f>
        <v/>
      </c>
      <c r="H205" s="6">
        <f>IF(OR(A205="",B205=""),"",SUMIFS($E$2:$E$1001,$A$2:$A$1001,A205,$B$2:$B$1001,B205))</f>
        <v/>
      </c>
    </row>
    <row r="206">
      <c r="A206" s="7" t="n"/>
      <c r="B206" s="6" t="n"/>
      <c r="C206" s="6" t="n"/>
      <c r="D206" s="6">
        <f>IF(C206="","",IFERROR(VLOOKUP(C206,Lists!$C:$D,2,FALSE),""))</f>
        <v/>
      </c>
      <c r="E206" s="6" t="n"/>
      <c r="F206" s="6" t="n"/>
      <c r="G206" s="7">
        <f>IF(A206="","",A206+(7-WEEKDAY(A206,2)))</f>
        <v/>
      </c>
      <c r="H206" s="6">
        <f>IF(OR(A206="",B206=""),"",SUMIFS($E$2:$E$1001,$A$2:$A$1001,A206,$B$2:$B$1001,B206))</f>
        <v/>
      </c>
    </row>
    <row r="207">
      <c r="A207" s="7" t="n"/>
      <c r="B207" s="6" t="n"/>
      <c r="C207" s="6" t="n"/>
      <c r="D207" s="6">
        <f>IF(C207="","",IFERROR(VLOOKUP(C207,Lists!$C:$D,2,FALSE),""))</f>
        <v/>
      </c>
      <c r="E207" s="6" t="n"/>
      <c r="F207" s="6" t="n"/>
      <c r="G207" s="7">
        <f>IF(A207="","",A207+(7-WEEKDAY(A207,2)))</f>
        <v/>
      </c>
      <c r="H207" s="6">
        <f>IF(OR(A207="",B207=""),"",SUMIFS($E$2:$E$1001,$A$2:$A$1001,A207,$B$2:$B$1001,B207))</f>
        <v/>
      </c>
    </row>
    <row r="208">
      <c r="A208" s="7" t="n"/>
      <c r="B208" s="6" t="n"/>
      <c r="C208" s="6" t="n"/>
      <c r="D208" s="6">
        <f>IF(C208="","",IFERROR(VLOOKUP(C208,Lists!$C:$D,2,FALSE),""))</f>
        <v/>
      </c>
      <c r="E208" s="6" t="n"/>
      <c r="F208" s="6" t="n"/>
      <c r="G208" s="7">
        <f>IF(A208="","",A208+(7-WEEKDAY(A208,2)))</f>
        <v/>
      </c>
      <c r="H208" s="6">
        <f>IF(OR(A208="",B208=""),"",SUMIFS($E$2:$E$1001,$A$2:$A$1001,A208,$B$2:$B$1001,B208))</f>
        <v/>
      </c>
    </row>
    <row r="209">
      <c r="A209" s="7" t="n"/>
      <c r="B209" s="6" t="n"/>
      <c r="C209" s="6" t="n"/>
      <c r="D209" s="6">
        <f>IF(C209="","",IFERROR(VLOOKUP(C209,Lists!$C:$D,2,FALSE),""))</f>
        <v/>
      </c>
      <c r="E209" s="6" t="n"/>
      <c r="F209" s="6" t="n"/>
      <c r="G209" s="7">
        <f>IF(A209="","",A209+(7-WEEKDAY(A209,2)))</f>
        <v/>
      </c>
      <c r="H209" s="6">
        <f>IF(OR(A209="",B209=""),"",SUMIFS($E$2:$E$1001,$A$2:$A$1001,A209,$B$2:$B$1001,B209))</f>
        <v/>
      </c>
    </row>
    <row r="210">
      <c r="A210" s="7" t="n"/>
      <c r="B210" s="6" t="n"/>
      <c r="C210" s="6" t="n"/>
      <c r="D210" s="6">
        <f>IF(C210="","",IFERROR(VLOOKUP(C210,Lists!$C:$D,2,FALSE),""))</f>
        <v/>
      </c>
      <c r="E210" s="6" t="n"/>
      <c r="F210" s="6" t="n"/>
      <c r="G210" s="7">
        <f>IF(A210="","",A210+(7-WEEKDAY(A210,2)))</f>
        <v/>
      </c>
      <c r="H210" s="6">
        <f>IF(OR(A210="",B210=""),"",SUMIFS($E$2:$E$1001,$A$2:$A$1001,A210,$B$2:$B$1001,B210))</f>
        <v/>
      </c>
    </row>
    <row r="211">
      <c r="A211" s="7" t="n"/>
      <c r="B211" s="6" t="n"/>
      <c r="C211" s="6" t="n"/>
      <c r="D211" s="6">
        <f>IF(C211="","",IFERROR(VLOOKUP(C211,Lists!$C:$D,2,FALSE),""))</f>
        <v/>
      </c>
      <c r="E211" s="6" t="n"/>
      <c r="F211" s="6" t="n"/>
      <c r="G211" s="7">
        <f>IF(A211="","",A211+(7-WEEKDAY(A211,2)))</f>
        <v/>
      </c>
      <c r="H211" s="6">
        <f>IF(OR(A211="",B211=""),"",SUMIFS($E$2:$E$1001,$A$2:$A$1001,A211,$B$2:$B$1001,B211))</f>
        <v/>
      </c>
    </row>
    <row r="212">
      <c r="A212" s="7" t="n"/>
      <c r="B212" s="6" t="n"/>
      <c r="C212" s="6" t="n"/>
      <c r="D212" s="6">
        <f>IF(C212="","",IFERROR(VLOOKUP(C212,Lists!$C:$D,2,FALSE),""))</f>
        <v/>
      </c>
      <c r="E212" s="6" t="n"/>
      <c r="F212" s="6" t="n"/>
      <c r="G212" s="7">
        <f>IF(A212="","",A212+(7-WEEKDAY(A212,2)))</f>
        <v/>
      </c>
      <c r="H212" s="6">
        <f>IF(OR(A212="",B212=""),"",SUMIFS($E$2:$E$1001,$A$2:$A$1001,A212,$B$2:$B$1001,B212))</f>
        <v/>
      </c>
    </row>
    <row r="213">
      <c r="A213" s="7" t="n"/>
      <c r="B213" s="6" t="n"/>
      <c r="C213" s="6" t="n"/>
      <c r="D213" s="6">
        <f>IF(C213="","",IFERROR(VLOOKUP(C213,Lists!$C:$D,2,FALSE),""))</f>
        <v/>
      </c>
      <c r="E213" s="6" t="n"/>
      <c r="F213" s="6" t="n"/>
      <c r="G213" s="7">
        <f>IF(A213="","",A213+(7-WEEKDAY(A213,2)))</f>
        <v/>
      </c>
      <c r="H213" s="6">
        <f>IF(OR(A213="",B213=""),"",SUMIFS($E$2:$E$1001,$A$2:$A$1001,A213,$B$2:$B$1001,B213))</f>
        <v/>
      </c>
    </row>
    <row r="214">
      <c r="A214" s="7" t="n"/>
      <c r="B214" s="6" t="n"/>
      <c r="C214" s="6" t="n"/>
      <c r="D214" s="6">
        <f>IF(C214="","",IFERROR(VLOOKUP(C214,Lists!$C:$D,2,FALSE),""))</f>
        <v/>
      </c>
      <c r="E214" s="6" t="n"/>
      <c r="F214" s="6" t="n"/>
      <c r="G214" s="7">
        <f>IF(A214="","",A214+(7-WEEKDAY(A214,2)))</f>
        <v/>
      </c>
      <c r="H214" s="6">
        <f>IF(OR(A214="",B214=""),"",SUMIFS($E$2:$E$1001,$A$2:$A$1001,A214,$B$2:$B$1001,B214))</f>
        <v/>
      </c>
    </row>
    <row r="215">
      <c r="A215" s="7" t="n"/>
      <c r="B215" s="6" t="n"/>
      <c r="C215" s="6" t="n"/>
      <c r="D215" s="6">
        <f>IF(C215="","",IFERROR(VLOOKUP(C215,Lists!$C:$D,2,FALSE),""))</f>
        <v/>
      </c>
      <c r="E215" s="6" t="n"/>
      <c r="F215" s="6" t="n"/>
      <c r="G215" s="7">
        <f>IF(A215="","",A215+(7-WEEKDAY(A215,2)))</f>
        <v/>
      </c>
      <c r="H215" s="6">
        <f>IF(OR(A215="",B215=""),"",SUMIFS($E$2:$E$1001,$A$2:$A$1001,A215,$B$2:$B$1001,B215))</f>
        <v/>
      </c>
    </row>
    <row r="216">
      <c r="A216" s="7" t="n"/>
      <c r="B216" s="6" t="n"/>
      <c r="C216" s="6" t="n"/>
      <c r="D216" s="6">
        <f>IF(C216="","",IFERROR(VLOOKUP(C216,Lists!$C:$D,2,FALSE),""))</f>
        <v/>
      </c>
      <c r="E216" s="6" t="n"/>
      <c r="F216" s="6" t="n"/>
      <c r="G216" s="7">
        <f>IF(A216="","",A216+(7-WEEKDAY(A216,2)))</f>
        <v/>
      </c>
      <c r="H216" s="6">
        <f>IF(OR(A216="",B216=""),"",SUMIFS($E$2:$E$1001,$A$2:$A$1001,A216,$B$2:$B$1001,B216))</f>
        <v/>
      </c>
    </row>
    <row r="217">
      <c r="A217" s="7" t="n"/>
      <c r="B217" s="6" t="n"/>
      <c r="C217" s="6" t="n"/>
      <c r="D217" s="6">
        <f>IF(C217="","",IFERROR(VLOOKUP(C217,Lists!$C:$D,2,FALSE),""))</f>
        <v/>
      </c>
      <c r="E217" s="6" t="n"/>
      <c r="F217" s="6" t="n"/>
      <c r="G217" s="7">
        <f>IF(A217="","",A217+(7-WEEKDAY(A217,2)))</f>
        <v/>
      </c>
      <c r="H217" s="6">
        <f>IF(OR(A217="",B217=""),"",SUMIFS($E$2:$E$1001,$A$2:$A$1001,A217,$B$2:$B$1001,B217))</f>
        <v/>
      </c>
    </row>
    <row r="218">
      <c r="A218" s="7" t="n"/>
      <c r="B218" s="6" t="n"/>
      <c r="C218" s="6" t="n"/>
      <c r="D218" s="6">
        <f>IF(C218="","",IFERROR(VLOOKUP(C218,Lists!$C:$D,2,FALSE),""))</f>
        <v/>
      </c>
      <c r="E218" s="6" t="n"/>
      <c r="F218" s="6" t="n"/>
      <c r="G218" s="7">
        <f>IF(A218="","",A218+(7-WEEKDAY(A218,2)))</f>
        <v/>
      </c>
      <c r="H218" s="6">
        <f>IF(OR(A218="",B218=""),"",SUMIFS($E$2:$E$1001,$A$2:$A$1001,A218,$B$2:$B$1001,B218))</f>
        <v/>
      </c>
    </row>
    <row r="219">
      <c r="A219" s="7" t="n"/>
      <c r="B219" s="6" t="n"/>
      <c r="C219" s="6" t="n"/>
      <c r="D219" s="6">
        <f>IF(C219="","",IFERROR(VLOOKUP(C219,Lists!$C:$D,2,FALSE),""))</f>
        <v/>
      </c>
      <c r="E219" s="6" t="n"/>
      <c r="F219" s="6" t="n"/>
      <c r="G219" s="7">
        <f>IF(A219="","",A219+(7-WEEKDAY(A219,2)))</f>
        <v/>
      </c>
      <c r="H219" s="6">
        <f>IF(OR(A219="",B219=""),"",SUMIFS($E$2:$E$1001,$A$2:$A$1001,A219,$B$2:$B$1001,B219))</f>
        <v/>
      </c>
    </row>
    <row r="220">
      <c r="A220" s="7" t="n"/>
      <c r="B220" s="6" t="n"/>
      <c r="C220" s="6" t="n"/>
      <c r="D220" s="6">
        <f>IF(C220="","",IFERROR(VLOOKUP(C220,Lists!$C:$D,2,FALSE),""))</f>
        <v/>
      </c>
      <c r="E220" s="6" t="n"/>
      <c r="F220" s="6" t="n"/>
      <c r="G220" s="7">
        <f>IF(A220="","",A220+(7-WEEKDAY(A220,2)))</f>
        <v/>
      </c>
      <c r="H220" s="6">
        <f>IF(OR(A220="",B220=""),"",SUMIFS($E$2:$E$1001,$A$2:$A$1001,A220,$B$2:$B$1001,B220))</f>
        <v/>
      </c>
    </row>
    <row r="221">
      <c r="A221" s="7" t="n"/>
      <c r="B221" s="6" t="n"/>
      <c r="C221" s="6" t="n"/>
      <c r="D221" s="6">
        <f>IF(C221="","",IFERROR(VLOOKUP(C221,Lists!$C:$D,2,FALSE),""))</f>
        <v/>
      </c>
      <c r="E221" s="6" t="n"/>
      <c r="F221" s="6" t="n"/>
      <c r="G221" s="7">
        <f>IF(A221="","",A221+(7-WEEKDAY(A221,2)))</f>
        <v/>
      </c>
      <c r="H221" s="6">
        <f>IF(OR(A221="",B221=""),"",SUMIFS($E$2:$E$1001,$A$2:$A$1001,A221,$B$2:$B$1001,B221))</f>
        <v/>
      </c>
    </row>
    <row r="222">
      <c r="A222" s="7" t="n"/>
      <c r="B222" s="6" t="n"/>
      <c r="C222" s="6" t="n"/>
      <c r="D222" s="6">
        <f>IF(C222="","",IFERROR(VLOOKUP(C222,Lists!$C:$D,2,FALSE),""))</f>
        <v/>
      </c>
      <c r="E222" s="6" t="n"/>
      <c r="F222" s="6" t="n"/>
      <c r="G222" s="7">
        <f>IF(A222="","",A222+(7-WEEKDAY(A222,2)))</f>
        <v/>
      </c>
      <c r="H222" s="6">
        <f>IF(OR(A222="",B222=""),"",SUMIFS($E$2:$E$1001,$A$2:$A$1001,A222,$B$2:$B$1001,B222))</f>
        <v/>
      </c>
    </row>
    <row r="223">
      <c r="A223" s="7" t="n"/>
      <c r="B223" s="6" t="n"/>
      <c r="C223" s="6" t="n"/>
      <c r="D223" s="6">
        <f>IF(C223="","",IFERROR(VLOOKUP(C223,Lists!$C:$D,2,FALSE),""))</f>
        <v/>
      </c>
      <c r="E223" s="6" t="n"/>
      <c r="F223" s="6" t="n"/>
      <c r="G223" s="7">
        <f>IF(A223="","",A223+(7-WEEKDAY(A223,2)))</f>
        <v/>
      </c>
      <c r="H223" s="6">
        <f>IF(OR(A223="",B223=""),"",SUMIFS($E$2:$E$1001,$A$2:$A$1001,A223,$B$2:$B$1001,B223))</f>
        <v/>
      </c>
    </row>
    <row r="224">
      <c r="A224" s="7" t="n"/>
      <c r="B224" s="6" t="n"/>
      <c r="C224" s="6" t="n"/>
      <c r="D224" s="6">
        <f>IF(C224="","",IFERROR(VLOOKUP(C224,Lists!$C:$D,2,FALSE),""))</f>
        <v/>
      </c>
      <c r="E224" s="6" t="n"/>
      <c r="F224" s="6" t="n"/>
      <c r="G224" s="7">
        <f>IF(A224="","",A224+(7-WEEKDAY(A224,2)))</f>
        <v/>
      </c>
      <c r="H224" s="6">
        <f>IF(OR(A224="",B224=""),"",SUMIFS($E$2:$E$1001,$A$2:$A$1001,A224,$B$2:$B$1001,B224))</f>
        <v/>
      </c>
    </row>
    <row r="225">
      <c r="A225" s="7" t="n"/>
      <c r="B225" s="6" t="n"/>
      <c r="C225" s="6" t="n"/>
      <c r="D225" s="6">
        <f>IF(C225="","",IFERROR(VLOOKUP(C225,Lists!$C:$D,2,FALSE),""))</f>
        <v/>
      </c>
      <c r="E225" s="6" t="n"/>
      <c r="F225" s="6" t="n"/>
      <c r="G225" s="7">
        <f>IF(A225="","",A225+(7-WEEKDAY(A225,2)))</f>
        <v/>
      </c>
      <c r="H225" s="6">
        <f>IF(OR(A225="",B225=""),"",SUMIFS($E$2:$E$1001,$A$2:$A$1001,A225,$B$2:$B$1001,B225))</f>
        <v/>
      </c>
    </row>
    <row r="226">
      <c r="A226" s="7" t="n"/>
      <c r="B226" s="6" t="n"/>
      <c r="C226" s="6" t="n"/>
      <c r="D226" s="6">
        <f>IF(C226="","",IFERROR(VLOOKUP(C226,Lists!$C:$D,2,FALSE),""))</f>
        <v/>
      </c>
      <c r="E226" s="6" t="n"/>
      <c r="F226" s="6" t="n"/>
      <c r="G226" s="7">
        <f>IF(A226="","",A226+(7-WEEKDAY(A226,2)))</f>
        <v/>
      </c>
      <c r="H226" s="6">
        <f>IF(OR(A226="",B226=""),"",SUMIFS($E$2:$E$1001,$A$2:$A$1001,A226,$B$2:$B$1001,B226))</f>
        <v/>
      </c>
    </row>
    <row r="227">
      <c r="A227" s="7" t="n"/>
      <c r="B227" s="6" t="n"/>
      <c r="C227" s="6" t="n"/>
      <c r="D227" s="6">
        <f>IF(C227="","",IFERROR(VLOOKUP(C227,Lists!$C:$D,2,FALSE),""))</f>
        <v/>
      </c>
      <c r="E227" s="6" t="n"/>
      <c r="F227" s="6" t="n"/>
      <c r="G227" s="7">
        <f>IF(A227="","",A227+(7-WEEKDAY(A227,2)))</f>
        <v/>
      </c>
      <c r="H227" s="6">
        <f>IF(OR(A227="",B227=""),"",SUMIFS($E$2:$E$1001,$A$2:$A$1001,A227,$B$2:$B$1001,B227))</f>
        <v/>
      </c>
    </row>
    <row r="228">
      <c r="A228" s="7" t="n"/>
      <c r="B228" s="6" t="n"/>
      <c r="C228" s="6" t="n"/>
      <c r="D228" s="6">
        <f>IF(C228="","",IFERROR(VLOOKUP(C228,Lists!$C:$D,2,FALSE),""))</f>
        <v/>
      </c>
      <c r="E228" s="6" t="n"/>
      <c r="F228" s="6" t="n"/>
      <c r="G228" s="7">
        <f>IF(A228="","",A228+(7-WEEKDAY(A228,2)))</f>
        <v/>
      </c>
      <c r="H228" s="6">
        <f>IF(OR(A228="",B228=""),"",SUMIFS($E$2:$E$1001,$A$2:$A$1001,A228,$B$2:$B$1001,B228))</f>
        <v/>
      </c>
    </row>
    <row r="229">
      <c r="A229" s="7" t="n"/>
      <c r="B229" s="6" t="n"/>
      <c r="C229" s="6" t="n"/>
      <c r="D229" s="6">
        <f>IF(C229="","",IFERROR(VLOOKUP(C229,Lists!$C:$D,2,FALSE),""))</f>
        <v/>
      </c>
      <c r="E229" s="6" t="n"/>
      <c r="F229" s="6" t="n"/>
      <c r="G229" s="7">
        <f>IF(A229="","",A229+(7-WEEKDAY(A229,2)))</f>
        <v/>
      </c>
      <c r="H229" s="6">
        <f>IF(OR(A229="",B229=""),"",SUMIFS($E$2:$E$1001,$A$2:$A$1001,A229,$B$2:$B$1001,B229))</f>
        <v/>
      </c>
    </row>
    <row r="230">
      <c r="A230" s="7" t="n"/>
      <c r="B230" s="6" t="n"/>
      <c r="C230" s="6" t="n"/>
      <c r="D230" s="6">
        <f>IF(C230="","",IFERROR(VLOOKUP(C230,Lists!$C:$D,2,FALSE),""))</f>
        <v/>
      </c>
      <c r="E230" s="6" t="n"/>
      <c r="F230" s="6" t="n"/>
      <c r="G230" s="7">
        <f>IF(A230="","",A230+(7-WEEKDAY(A230,2)))</f>
        <v/>
      </c>
      <c r="H230" s="6">
        <f>IF(OR(A230="",B230=""),"",SUMIFS($E$2:$E$1001,$A$2:$A$1001,A230,$B$2:$B$1001,B230))</f>
        <v/>
      </c>
    </row>
    <row r="231">
      <c r="A231" s="7" t="n"/>
      <c r="B231" s="6" t="n"/>
      <c r="C231" s="6" t="n"/>
      <c r="D231" s="6">
        <f>IF(C231="","",IFERROR(VLOOKUP(C231,Lists!$C:$D,2,FALSE),""))</f>
        <v/>
      </c>
      <c r="E231" s="6" t="n"/>
      <c r="F231" s="6" t="n"/>
      <c r="G231" s="7">
        <f>IF(A231="","",A231+(7-WEEKDAY(A231,2)))</f>
        <v/>
      </c>
      <c r="H231" s="6">
        <f>IF(OR(A231="",B231=""),"",SUMIFS($E$2:$E$1001,$A$2:$A$1001,A231,$B$2:$B$1001,B231))</f>
        <v/>
      </c>
    </row>
    <row r="232">
      <c r="A232" s="7" t="n"/>
      <c r="B232" s="6" t="n"/>
      <c r="C232" s="6" t="n"/>
      <c r="D232" s="6">
        <f>IF(C232="","",IFERROR(VLOOKUP(C232,Lists!$C:$D,2,FALSE),""))</f>
        <v/>
      </c>
      <c r="E232" s="6" t="n"/>
      <c r="F232" s="6" t="n"/>
      <c r="G232" s="7">
        <f>IF(A232="","",A232+(7-WEEKDAY(A232,2)))</f>
        <v/>
      </c>
      <c r="H232" s="6">
        <f>IF(OR(A232="",B232=""),"",SUMIFS($E$2:$E$1001,$A$2:$A$1001,A232,$B$2:$B$1001,B232))</f>
        <v/>
      </c>
    </row>
    <row r="233">
      <c r="A233" s="7" t="n"/>
      <c r="B233" s="6" t="n"/>
      <c r="C233" s="6" t="n"/>
      <c r="D233" s="6">
        <f>IF(C233="","",IFERROR(VLOOKUP(C233,Lists!$C:$D,2,FALSE),""))</f>
        <v/>
      </c>
      <c r="E233" s="6" t="n"/>
      <c r="F233" s="6" t="n"/>
      <c r="G233" s="7">
        <f>IF(A233="","",A233+(7-WEEKDAY(A233,2)))</f>
        <v/>
      </c>
      <c r="H233" s="6">
        <f>IF(OR(A233="",B233=""),"",SUMIFS($E$2:$E$1001,$A$2:$A$1001,A233,$B$2:$B$1001,B233))</f>
        <v/>
      </c>
    </row>
    <row r="234">
      <c r="A234" s="7" t="n"/>
      <c r="B234" s="6" t="n"/>
      <c r="C234" s="6" t="n"/>
      <c r="D234" s="6">
        <f>IF(C234="","",IFERROR(VLOOKUP(C234,Lists!$C:$D,2,FALSE),""))</f>
        <v/>
      </c>
      <c r="E234" s="6" t="n"/>
      <c r="F234" s="6" t="n"/>
      <c r="G234" s="7">
        <f>IF(A234="","",A234+(7-WEEKDAY(A234,2)))</f>
        <v/>
      </c>
      <c r="H234" s="6">
        <f>IF(OR(A234="",B234=""),"",SUMIFS($E$2:$E$1001,$A$2:$A$1001,A234,$B$2:$B$1001,B234))</f>
        <v/>
      </c>
    </row>
    <row r="235">
      <c r="A235" s="7" t="n"/>
      <c r="B235" s="6" t="n"/>
      <c r="C235" s="6" t="n"/>
      <c r="D235" s="6">
        <f>IF(C235="","",IFERROR(VLOOKUP(C235,Lists!$C:$D,2,FALSE),""))</f>
        <v/>
      </c>
      <c r="E235" s="6" t="n"/>
      <c r="F235" s="6" t="n"/>
      <c r="G235" s="7">
        <f>IF(A235="","",A235+(7-WEEKDAY(A235,2)))</f>
        <v/>
      </c>
      <c r="H235" s="6">
        <f>IF(OR(A235="",B235=""),"",SUMIFS($E$2:$E$1001,$A$2:$A$1001,A235,$B$2:$B$1001,B235))</f>
        <v/>
      </c>
    </row>
    <row r="236">
      <c r="A236" s="7" t="n"/>
      <c r="B236" s="6" t="n"/>
      <c r="C236" s="6" t="n"/>
      <c r="D236" s="6">
        <f>IF(C236="","",IFERROR(VLOOKUP(C236,Lists!$C:$D,2,FALSE),""))</f>
        <v/>
      </c>
      <c r="E236" s="6" t="n"/>
      <c r="F236" s="6" t="n"/>
      <c r="G236" s="7">
        <f>IF(A236="","",A236+(7-WEEKDAY(A236,2)))</f>
        <v/>
      </c>
      <c r="H236" s="6">
        <f>IF(OR(A236="",B236=""),"",SUMIFS($E$2:$E$1001,$A$2:$A$1001,A236,$B$2:$B$1001,B236))</f>
        <v/>
      </c>
    </row>
    <row r="237">
      <c r="A237" s="7" t="n"/>
      <c r="B237" s="6" t="n"/>
      <c r="C237" s="6" t="n"/>
      <c r="D237" s="6">
        <f>IF(C237="","",IFERROR(VLOOKUP(C237,Lists!$C:$D,2,FALSE),""))</f>
        <v/>
      </c>
      <c r="E237" s="6" t="n"/>
      <c r="F237" s="6" t="n"/>
      <c r="G237" s="7">
        <f>IF(A237="","",A237+(7-WEEKDAY(A237,2)))</f>
        <v/>
      </c>
      <c r="H237" s="6">
        <f>IF(OR(A237="",B237=""),"",SUMIFS($E$2:$E$1001,$A$2:$A$1001,A237,$B$2:$B$1001,B237))</f>
        <v/>
      </c>
    </row>
    <row r="238">
      <c r="A238" s="7" t="n"/>
      <c r="B238" s="6" t="n"/>
      <c r="C238" s="6" t="n"/>
      <c r="D238" s="6">
        <f>IF(C238="","",IFERROR(VLOOKUP(C238,Lists!$C:$D,2,FALSE),""))</f>
        <v/>
      </c>
      <c r="E238" s="6" t="n"/>
      <c r="F238" s="6" t="n"/>
      <c r="G238" s="7">
        <f>IF(A238="","",A238+(7-WEEKDAY(A238,2)))</f>
        <v/>
      </c>
      <c r="H238" s="6">
        <f>IF(OR(A238="",B238=""),"",SUMIFS($E$2:$E$1001,$A$2:$A$1001,A238,$B$2:$B$1001,B238))</f>
        <v/>
      </c>
    </row>
    <row r="239">
      <c r="A239" s="7" t="n"/>
      <c r="B239" s="6" t="n"/>
      <c r="C239" s="6" t="n"/>
      <c r="D239" s="6">
        <f>IF(C239="","",IFERROR(VLOOKUP(C239,Lists!$C:$D,2,FALSE),""))</f>
        <v/>
      </c>
      <c r="E239" s="6" t="n"/>
      <c r="F239" s="6" t="n"/>
      <c r="G239" s="7">
        <f>IF(A239="","",A239+(7-WEEKDAY(A239,2)))</f>
        <v/>
      </c>
      <c r="H239" s="6">
        <f>IF(OR(A239="",B239=""),"",SUMIFS($E$2:$E$1001,$A$2:$A$1001,A239,$B$2:$B$1001,B239))</f>
        <v/>
      </c>
    </row>
    <row r="240">
      <c r="A240" s="7" t="n"/>
      <c r="B240" s="6" t="n"/>
      <c r="C240" s="6" t="n"/>
      <c r="D240" s="6">
        <f>IF(C240="","",IFERROR(VLOOKUP(C240,Lists!$C:$D,2,FALSE),""))</f>
        <v/>
      </c>
      <c r="E240" s="6" t="n"/>
      <c r="F240" s="6" t="n"/>
      <c r="G240" s="7">
        <f>IF(A240="","",A240+(7-WEEKDAY(A240,2)))</f>
        <v/>
      </c>
      <c r="H240" s="6">
        <f>IF(OR(A240="",B240=""),"",SUMIFS($E$2:$E$1001,$A$2:$A$1001,A240,$B$2:$B$1001,B240))</f>
        <v/>
      </c>
    </row>
    <row r="241">
      <c r="A241" s="7" t="n"/>
      <c r="B241" s="6" t="n"/>
      <c r="C241" s="6" t="n"/>
      <c r="D241" s="6">
        <f>IF(C241="","",IFERROR(VLOOKUP(C241,Lists!$C:$D,2,FALSE),""))</f>
        <v/>
      </c>
      <c r="E241" s="6" t="n"/>
      <c r="F241" s="6" t="n"/>
      <c r="G241" s="7">
        <f>IF(A241="","",A241+(7-WEEKDAY(A241,2)))</f>
        <v/>
      </c>
      <c r="H241" s="6">
        <f>IF(OR(A241="",B241=""),"",SUMIFS($E$2:$E$1001,$A$2:$A$1001,A241,$B$2:$B$1001,B241))</f>
        <v/>
      </c>
    </row>
    <row r="242">
      <c r="A242" s="7" t="n"/>
      <c r="B242" s="6" t="n"/>
      <c r="C242" s="6" t="n"/>
      <c r="D242" s="6">
        <f>IF(C242="","",IFERROR(VLOOKUP(C242,Lists!$C:$D,2,FALSE),""))</f>
        <v/>
      </c>
      <c r="E242" s="6" t="n"/>
      <c r="F242" s="6" t="n"/>
      <c r="G242" s="7">
        <f>IF(A242="","",A242+(7-WEEKDAY(A242,2)))</f>
        <v/>
      </c>
      <c r="H242" s="6">
        <f>IF(OR(A242="",B242=""),"",SUMIFS($E$2:$E$1001,$A$2:$A$1001,A242,$B$2:$B$1001,B242))</f>
        <v/>
      </c>
    </row>
    <row r="243">
      <c r="A243" s="7" t="n"/>
      <c r="B243" s="6" t="n"/>
      <c r="C243" s="6" t="n"/>
      <c r="D243" s="6">
        <f>IF(C243="","",IFERROR(VLOOKUP(C243,Lists!$C:$D,2,FALSE),""))</f>
        <v/>
      </c>
      <c r="E243" s="6" t="n"/>
      <c r="F243" s="6" t="n"/>
      <c r="G243" s="7">
        <f>IF(A243="","",A243+(7-WEEKDAY(A243,2)))</f>
        <v/>
      </c>
      <c r="H243" s="6">
        <f>IF(OR(A243="",B243=""),"",SUMIFS($E$2:$E$1001,$A$2:$A$1001,A243,$B$2:$B$1001,B243))</f>
        <v/>
      </c>
    </row>
    <row r="244">
      <c r="A244" s="7" t="n"/>
      <c r="B244" s="6" t="n"/>
      <c r="C244" s="6" t="n"/>
      <c r="D244" s="6">
        <f>IF(C244="","",IFERROR(VLOOKUP(C244,Lists!$C:$D,2,FALSE),""))</f>
        <v/>
      </c>
      <c r="E244" s="6" t="n"/>
      <c r="F244" s="6" t="n"/>
      <c r="G244" s="7">
        <f>IF(A244="","",A244+(7-WEEKDAY(A244,2)))</f>
        <v/>
      </c>
      <c r="H244" s="6">
        <f>IF(OR(A244="",B244=""),"",SUMIFS($E$2:$E$1001,$A$2:$A$1001,A244,$B$2:$B$1001,B244))</f>
        <v/>
      </c>
    </row>
    <row r="245">
      <c r="A245" s="7" t="n"/>
      <c r="B245" s="6" t="n"/>
      <c r="C245" s="6" t="n"/>
      <c r="D245" s="6">
        <f>IF(C245="","",IFERROR(VLOOKUP(C245,Lists!$C:$D,2,FALSE),""))</f>
        <v/>
      </c>
      <c r="E245" s="6" t="n"/>
      <c r="F245" s="6" t="n"/>
      <c r="G245" s="7">
        <f>IF(A245="","",A245+(7-WEEKDAY(A245,2)))</f>
        <v/>
      </c>
      <c r="H245" s="6">
        <f>IF(OR(A245="",B245=""),"",SUMIFS($E$2:$E$1001,$A$2:$A$1001,A245,$B$2:$B$1001,B245))</f>
        <v/>
      </c>
    </row>
    <row r="246">
      <c r="A246" s="7" t="n"/>
      <c r="B246" s="6" t="n"/>
      <c r="C246" s="6" t="n"/>
      <c r="D246" s="6">
        <f>IF(C246="","",IFERROR(VLOOKUP(C246,Lists!$C:$D,2,FALSE),""))</f>
        <v/>
      </c>
      <c r="E246" s="6" t="n"/>
      <c r="F246" s="6" t="n"/>
      <c r="G246" s="7">
        <f>IF(A246="","",A246+(7-WEEKDAY(A246,2)))</f>
        <v/>
      </c>
      <c r="H246" s="6">
        <f>IF(OR(A246="",B246=""),"",SUMIFS($E$2:$E$1001,$A$2:$A$1001,A246,$B$2:$B$1001,B246))</f>
        <v/>
      </c>
    </row>
    <row r="247">
      <c r="A247" s="7" t="n"/>
      <c r="B247" s="6" t="n"/>
      <c r="C247" s="6" t="n"/>
      <c r="D247" s="6">
        <f>IF(C247="","",IFERROR(VLOOKUP(C247,Lists!$C:$D,2,FALSE),""))</f>
        <v/>
      </c>
      <c r="E247" s="6" t="n"/>
      <c r="F247" s="6" t="n"/>
      <c r="G247" s="7">
        <f>IF(A247="","",A247+(7-WEEKDAY(A247,2)))</f>
        <v/>
      </c>
      <c r="H247" s="6">
        <f>IF(OR(A247="",B247=""),"",SUMIFS($E$2:$E$1001,$A$2:$A$1001,A247,$B$2:$B$1001,B247))</f>
        <v/>
      </c>
    </row>
    <row r="248">
      <c r="A248" s="7" t="n"/>
      <c r="B248" s="6" t="n"/>
      <c r="C248" s="6" t="n"/>
      <c r="D248" s="6">
        <f>IF(C248="","",IFERROR(VLOOKUP(C248,Lists!$C:$D,2,FALSE),""))</f>
        <v/>
      </c>
      <c r="E248" s="6" t="n"/>
      <c r="F248" s="6" t="n"/>
      <c r="G248" s="7">
        <f>IF(A248="","",A248+(7-WEEKDAY(A248,2)))</f>
        <v/>
      </c>
      <c r="H248" s="6">
        <f>IF(OR(A248="",B248=""),"",SUMIFS($E$2:$E$1001,$A$2:$A$1001,A248,$B$2:$B$1001,B248))</f>
        <v/>
      </c>
    </row>
    <row r="249">
      <c r="A249" s="7" t="n"/>
      <c r="B249" s="6" t="n"/>
      <c r="C249" s="6" t="n"/>
      <c r="D249" s="6">
        <f>IF(C249="","",IFERROR(VLOOKUP(C249,Lists!$C:$D,2,FALSE),""))</f>
        <v/>
      </c>
      <c r="E249" s="6" t="n"/>
      <c r="F249" s="6" t="n"/>
      <c r="G249" s="7">
        <f>IF(A249="","",A249+(7-WEEKDAY(A249,2)))</f>
        <v/>
      </c>
      <c r="H249" s="6">
        <f>IF(OR(A249="",B249=""),"",SUMIFS($E$2:$E$1001,$A$2:$A$1001,A249,$B$2:$B$1001,B249))</f>
        <v/>
      </c>
    </row>
    <row r="250">
      <c r="A250" s="7" t="n"/>
      <c r="B250" s="6" t="n"/>
      <c r="C250" s="6" t="n"/>
      <c r="D250" s="6">
        <f>IF(C250="","",IFERROR(VLOOKUP(C250,Lists!$C:$D,2,FALSE),""))</f>
        <v/>
      </c>
      <c r="E250" s="6" t="n"/>
      <c r="F250" s="6" t="n"/>
      <c r="G250" s="7">
        <f>IF(A250="","",A250+(7-WEEKDAY(A250,2)))</f>
        <v/>
      </c>
      <c r="H250" s="6">
        <f>IF(OR(A250="",B250=""),"",SUMIFS($E$2:$E$1001,$A$2:$A$1001,A250,$B$2:$B$1001,B250))</f>
        <v/>
      </c>
    </row>
    <row r="251">
      <c r="A251" s="7" t="n"/>
      <c r="B251" s="6" t="n"/>
      <c r="C251" s="6" t="n"/>
      <c r="D251" s="6">
        <f>IF(C251="","",IFERROR(VLOOKUP(C251,Lists!$C:$D,2,FALSE),""))</f>
        <v/>
      </c>
      <c r="E251" s="6" t="n"/>
      <c r="F251" s="6" t="n"/>
      <c r="G251" s="7">
        <f>IF(A251="","",A251+(7-WEEKDAY(A251,2)))</f>
        <v/>
      </c>
      <c r="H251" s="6">
        <f>IF(OR(A251="",B251=""),"",SUMIFS($E$2:$E$1001,$A$2:$A$1001,A251,$B$2:$B$1001,B251))</f>
        <v/>
      </c>
    </row>
    <row r="252">
      <c r="A252" s="7" t="n"/>
      <c r="B252" s="6" t="n"/>
      <c r="C252" s="6" t="n"/>
      <c r="D252" s="6">
        <f>IF(C252="","",IFERROR(VLOOKUP(C252,Lists!$C:$D,2,FALSE),""))</f>
        <v/>
      </c>
      <c r="E252" s="6" t="n"/>
      <c r="F252" s="6" t="n"/>
      <c r="G252" s="7">
        <f>IF(A252="","",A252+(7-WEEKDAY(A252,2)))</f>
        <v/>
      </c>
      <c r="H252" s="6">
        <f>IF(OR(A252="",B252=""),"",SUMIFS($E$2:$E$1001,$A$2:$A$1001,A252,$B$2:$B$1001,B252))</f>
        <v/>
      </c>
    </row>
    <row r="253">
      <c r="A253" s="7" t="n"/>
      <c r="B253" s="6" t="n"/>
      <c r="C253" s="6" t="n"/>
      <c r="D253" s="6">
        <f>IF(C253="","",IFERROR(VLOOKUP(C253,Lists!$C:$D,2,FALSE),""))</f>
        <v/>
      </c>
      <c r="E253" s="6" t="n"/>
      <c r="F253" s="6" t="n"/>
      <c r="G253" s="7">
        <f>IF(A253="","",A253+(7-WEEKDAY(A253,2)))</f>
        <v/>
      </c>
      <c r="H253" s="6">
        <f>IF(OR(A253="",B253=""),"",SUMIFS($E$2:$E$1001,$A$2:$A$1001,A253,$B$2:$B$1001,B253))</f>
        <v/>
      </c>
    </row>
    <row r="254">
      <c r="A254" s="7" t="n"/>
      <c r="B254" s="6" t="n"/>
      <c r="C254" s="6" t="n"/>
      <c r="D254" s="6">
        <f>IF(C254="","",IFERROR(VLOOKUP(C254,Lists!$C:$D,2,FALSE),""))</f>
        <v/>
      </c>
      <c r="E254" s="6" t="n"/>
      <c r="F254" s="6" t="n"/>
      <c r="G254" s="7">
        <f>IF(A254="","",A254+(7-WEEKDAY(A254,2)))</f>
        <v/>
      </c>
      <c r="H254" s="6">
        <f>IF(OR(A254="",B254=""),"",SUMIFS($E$2:$E$1001,$A$2:$A$1001,A254,$B$2:$B$1001,B254))</f>
        <v/>
      </c>
    </row>
    <row r="255">
      <c r="A255" s="7" t="n"/>
      <c r="B255" s="6" t="n"/>
      <c r="C255" s="6" t="n"/>
      <c r="D255" s="6">
        <f>IF(C255="","",IFERROR(VLOOKUP(C255,Lists!$C:$D,2,FALSE),""))</f>
        <v/>
      </c>
      <c r="E255" s="6" t="n"/>
      <c r="F255" s="6" t="n"/>
      <c r="G255" s="7">
        <f>IF(A255="","",A255+(7-WEEKDAY(A255,2)))</f>
        <v/>
      </c>
      <c r="H255" s="6">
        <f>IF(OR(A255="",B255=""),"",SUMIFS($E$2:$E$1001,$A$2:$A$1001,A255,$B$2:$B$1001,B255))</f>
        <v/>
      </c>
    </row>
    <row r="256">
      <c r="A256" s="7" t="n"/>
      <c r="B256" s="6" t="n"/>
      <c r="C256" s="6" t="n"/>
      <c r="D256" s="6">
        <f>IF(C256="","",IFERROR(VLOOKUP(C256,Lists!$C:$D,2,FALSE),""))</f>
        <v/>
      </c>
      <c r="E256" s="6" t="n"/>
      <c r="F256" s="6" t="n"/>
      <c r="G256" s="7">
        <f>IF(A256="","",A256+(7-WEEKDAY(A256,2)))</f>
        <v/>
      </c>
      <c r="H256" s="6">
        <f>IF(OR(A256="",B256=""),"",SUMIFS($E$2:$E$1001,$A$2:$A$1001,A256,$B$2:$B$1001,B256))</f>
        <v/>
      </c>
    </row>
    <row r="257">
      <c r="A257" s="7" t="n"/>
      <c r="B257" s="6" t="n"/>
      <c r="C257" s="6" t="n"/>
      <c r="D257" s="6">
        <f>IF(C257="","",IFERROR(VLOOKUP(C257,Lists!$C:$D,2,FALSE),""))</f>
        <v/>
      </c>
      <c r="E257" s="6" t="n"/>
      <c r="F257" s="6" t="n"/>
      <c r="G257" s="7">
        <f>IF(A257="","",A257+(7-WEEKDAY(A257,2)))</f>
        <v/>
      </c>
      <c r="H257" s="6">
        <f>IF(OR(A257="",B257=""),"",SUMIFS($E$2:$E$1001,$A$2:$A$1001,A257,$B$2:$B$1001,B257))</f>
        <v/>
      </c>
    </row>
    <row r="258">
      <c r="A258" s="7" t="n"/>
      <c r="B258" s="6" t="n"/>
      <c r="C258" s="6" t="n"/>
      <c r="D258" s="6">
        <f>IF(C258="","",IFERROR(VLOOKUP(C258,Lists!$C:$D,2,FALSE),""))</f>
        <v/>
      </c>
      <c r="E258" s="6" t="n"/>
      <c r="F258" s="6" t="n"/>
      <c r="G258" s="7">
        <f>IF(A258="","",A258+(7-WEEKDAY(A258,2)))</f>
        <v/>
      </c>
      <c r="H258" s="6">
        <f>IF(OR(A258="",B258=""),"",SUMIFS($E$2:$E$1001,$A$2:$A$1001,A258,$B$2:$B$1001,B258))</f>
        <v/>
      </c>
    </row>
    <row r="259">
      <c r="A259" s="7" t="n"/>
      <c r="B259" s="6" t="n"/>
      <c r="C259" s="6" t="n"/>
      <c r="D259" s="6">
        <f>IF(C259="","",IFERROR(VLOOKUP(C259,Lists!$C:$D,2,FALSE),""))</f>
        <v/>
      </c>
      <c r="E259" s="6" t="n"/>
      <c r="F259" s="6" t="n"/>
      <c r="G259" s="7">
        <f>IF(A259="","",A259+(7-WEEKDAY(A259,2)))</f>
        <v/>
      </c>
      <c r="H259" s="6">
        <f>IF(OR(A259="",B259=""),"",SUMIFS($E$2:$E$1001,$A$2:$A$1001,A259,$B$2:$B$1001,B259))</f>
        <v/>
      </c>
    </row>
    <row r="260">
      <c r="A260" s="7" t="n"/>
      <c r="B260" s="6" t="n"/>
      <c r="C260" s="6" t="n"/>
      <c r="D260" s="6">
        <f>IF(C260="","",IFERROR(VLOOKUP(C260,Lists!$C:$D,2,FALSE),""))</f>
        <v/>
      </c>
      <c r="E260" s="6" t="n"/>
      <c r="F260" s="6" t="n"/>
      <c r="G260" s="7">
        <f>IF(A260="","",A260+(7-WEEKDAY(A260,2)))</f>
        <v/>
      </c>
      <c r="H260" s="6">
        <f>IF(OR(A260="",B260=""),"",SUMIFS($E$2:$E$1001,$A$2:$A$1001,A260,$B$2:$B$1001,B260))</f>
        <v/>
      </c>
    </row>
    <row r="261">
      <c r="A261" s="7" t="n"/>
      <c r="B261" s="6" t="n"/>
      <c r="C261" s="6" t="n"/>
      <c r="D261" s="6">
        <f>IF(C261="","",IFERROR(VLOOKUP(C261,Lists!$C:$D,2,FALSE),""))</f>
        <v/>
      </c>
      <c r="E261" s="6" t="n"/>
      <c r="F261" s="6" t="n"/>
      <c r="G261" s="7">
        <f>IF(A261="","",A261+(7-WEEKDAY(A261,2)))</f>
        <v/>
      </c>
      <c r="H261" s="6">
        <f>IF(OR(A261="",B261=""),"",SUMIFS($E$2:$E$1001,$A$2:$A$1001,A261,$B$2:$B$1001,B261))</f>
        <v/>
      </c>
    </row>
    <row r="262">
      <c r="A262" s="7" t="n"/>
      <c r="B262" s="6" t="n"/>
      <c r="C262" s="6" t="n"/>
      <c r="D262" s="6">
        <f>IF(C262="","",IFERROR(VLOOKUP(C262,Lists!$C:$D,2,FALSE),""))</f>
        <v/>
      </c>
      <c r="E262" s="6" t="n"/>
      <c r="F262" s="6" t="n"/>
      <c r="G262" s="7">
        <f>IF(A262="","",A262+(7-WEEKDAY(A262,2)))</f>
        <v/>
      </c>
      <c r="H262" s="6">
        <f>IF(OR(A262="",B262=""),"",SUMIFS($E$2:$E$1001,$A$2:$A$1001,A262,$B$2:$B$1001,B262))</f>
        <v/>
      </c>
    </row>
    <row r="263">
      <c r="A263" s="7" t="n"/>
      <c r="B263" s="6" t="n"/>
      <c r="C263" s="6" t="n"/>
      <c r="D263" s="6">
        <f>IF(C263="","",IFERROR(VLOOKUP(C263,Lists!$C:$D,2,FALSE),""))</f>
        <v/>
      </c>
      <c r="E263" s="6" t="n"/>
      <c r="F263" s="6" t="n"/>
      <c r="G263" s="7">
        <f>IF(A263="","",A263+(7-WEEKDAY(A263,2)))</f>
        <v/>
      </c>
      <c r="H263" s="6">
        <f>IF(OR(A263="",B263=""),"",SUMIFS($E$2:$E$1001,$A$2:$A$1001,A263,$B$2:$B$1001,B263))</f>
        <v/>
      </c>
    </row>
    <row r="264">
      <c r="A264" s="7" t="n"/>
      <c r="B264" s="6" t="n"/>
      <c r="C264" s="6" t="n"/>
      <c r="D264" s="6">
        <f>IF(C264="","",IFERROR(VLOOKUP(C264,Lists!$C:$D,2,FALSE),""))</f>
        <v/>
      </c>
      <c r="E264" s="6" t="n"/>
      <c r="F264" s="6" t="n"/>
      <c r="G264" s="7">
        <f>IF(A264="","",A264+(7-WEEKDAY(A264,2)))</f>
        <v/>
      </c>
      <c r="H264" s="6">
        <f>IF(OR(A264="",B264=""),"",SUMIFS($E$2:$E$1001,$A$2:$A$1001,A264,$B$2:$B$1001,B264))</f>
        <v/>
      </c>
    </row>
    <row r="265">
      <c r="A265" s="7" t="n"/>
      <c r="B265" s="6" t="n"/>
      <c r="C265" s="6" t="n"/>
      <c r="D265" s="6">
        <f>IF(C265="","",IFERROR(VLOOKUP(C265,Lists!$C:$D,2,FALSE),""))</f>
        <v/>
      </c>
      <c r="E265" s="6" t="n"/>
      <c r="F265" s="6" t="n"/>
      <c r="G265" s="7">
        <f>IF(A265="","",A265+(7-WEEKDAY(A265,2)))</f>
        <v/>
      </c>
      <c r="H265" s="6">
        <f>IF(OR(A265="",B265=""),"",SUMIFS($E$2:$E$1001,$A$2:$A$1001,A265,$B$2:$B$1001,B265))</f>
        <v/>
      </c>
    </row>
    <row r="266">
      <c r="A266" s="7" t="n"/>
      <c r="B266" s="6" t="n"/>
      <c r="C266" s="6" t="n"/>
      <c r="D266" s="6">
        <f>IF(C266="","",IFERROR(VLOOKUP(C266,Lists!$C:$D,2,FALSE),""))</f>
        <v/>
      </c>
      <c r="E266" s="6" t="n"/>
      <c r="F266" s="6" t="n"/>
      <c r="G266" s="7">
        <f>IF(A266="","",A266+(7-WEEKDAY(A266,2)))</f>
        <v/>
      </c>
      <c r="H266" s="6">
        <f>IF(OR(A266="",B266=""),"",SUMIFS($E$2:$E$1001,$A$2:$A$1001,A266,$B$2:$B$1001,B266))</f>
        <v/>
      </c>
    </row>
    <row r="267">
      <c r="A267" s="7" t="n"/>
      <c r="B267" s="6" t="n"/>
      <c r="C267" s="6" t="n"/>
      <c r="D267" s="6">
        <f>IF(C267="","",IFERROR(VLOOKUP(C267,Lists!$C:$D,2,FALSE),""))</f>
        <v/>
      </c>
      <c r="E267" s="6" t="n"/>
      <c r="F267" s="6" t="n"/>
      <c r="G267" s="7">
        <f>IF(A267="","",A267+(7-WEEKDAY(A267,2)))</f>
        <v/>
      </c>
      <c r="H267" s="6">
        <f>IF(OR(A267="",B267=""),"",SUMIFS($E$2:$E$1001,$A$2:$A$1001,A267,$B$2:$B$1001,B267))</f>
        <v/>
      </c>
    </row>
    <row r="268">
      <c r="A268" s="7" t="n"/>
      <c r="B268" s="6" t="n"/>
      <c r="C268" s="6" t="n"/>
      <c r="D268" s="6">
        <f>IF(C268="","",IFERROR(VLOOKUP(C268,Lists!$C:$D,2,FALSE),""))</f>
        <v/>
      </c>
      <c r="E268" s="6" t="n"/>
      <c r="F268" s="6" t="n"/>
      <c r="G268" s="7">
        <f>IF(A268="","",A268+(7-WEEKDAY(A268,2)))</f>
        <v/>
      </c>
      <c r="H268" s="6">
        <f>IF(OR(A268="",B268=""),"",SUMIFS($E$2:$E$1001,$A$2:$A$1001,A268,$B$2:$B$1001,B268))</f>
        <v/>
      </c>
    </row>
    <row r="269">
      <c r="A269" s="7" t="n"/>
      <c r="B269" s="6" t="n"/>
      <c r="C269" s="6" t="n"/>
      <c r="D269" s="6">
        <f>IF(C269="","",IFERROR(VLOOKUP(C269,Lists!$C:$D,2,FALSE),""))</f>
        <v/>
      </c>
      <c r="E269" s="6" t="n"/>
      <c r="F269" s="6" t="n"/>
      <c r="G269" s="7">
        <f>IF(A269="","",A269+(7-WEEKDAY(A269,2)))</f>
        <v/>
      </c>
      <c r="H269" s="6">
        <f>IF(OR(A269="",B269=""),"",SUMIFS($E$2:$E$1001,$A$2:$A$1001,A269,$B$2:$B$1001,B269))</f>
        <v/>
      </c>
    </row>
    <row r="270">
      <c r="A270" s="7" t="n"/>
      <c r="B270" s="6" t="n"/>
      <c r="C270" s="6" t="n"/>
      <c r="D270" s="6">
        <f>IF(C270="","",IFERROR(VLOOKUP(C270,Lists!$C:$D,2,FALSE),""))</f>
        <v/>
      </c>
      <c r="E270" s="6" t="n"/>
      <c r="F270" s="6" t="n"/>
      <c r="G270" s="7">
        <f>IF(A270="","",A270+(7-WEEKDAY(A270,2)))</f>
        <v/>
      </c>
      <c r="H270" s="6">
        <f>IF(OR(A270="",B270=""),"",SUMIFS($E$2:$E$1001,$A$2:$A$1001,A270,$B$2:$B$1001,B270))</f>
        <v/>
      </c>
    </row>
    <row r="271">
      <c r="A271" s="7" t="n"/>
      <c r="B271" s="6" t="n"/>
      <c r="C271" s="6" t="n"/>
      <c r="D271" s="6">
        <f>IF(C271="","",IFERROR(VLOOKUP(C271,Lists!$C:$D,2,FALSE),""))</f>
        <v/>
      </c>
      <c r="E271" s="6" t="n"/>
      <c r="F271" s="6" t="n"/>
      <c r="G271" s="7">
        <f>IF(A271="","",A271+(7-WEEKDAY(A271,2)))</f>
        <v/>
      </c>
      <c r="H271" s="6">
        <f>IF(OR(A271="",B271=""),"",SUMIFS($E$2:$E$1001,$A$2:$A$1001,A271,$B$2:$B$1001,B271))</f>
        <v/>
      </c>
    </row>
    <row r="272">
      <c r="A272" s="7" t="n"/>
      <c r="B272" s="6" t="n"/>
      <c r="C272" s="6" t="n"/>
      <c r="D272" s="6">
        <f>IF(C272="","",IFERROR(VLOOKUP(C272,Lists!$C:$D,2,FALSE),""))</f>
        <v/>
      </c>
      <c r="E272" s="6" t="n"/>
      <c r="F272" s="6" t="n"/>
      <c r="G272" s="7">
        <f>IF(A272="","",A272+(7-WEEKDAY(A272,2)))</f>
        <v/>
      </c>
      <c r="H272" s="6">
        <f>IF(OR(A272="",B272=""),"",SUMIFS($E$2:$E$1001,$A$2:$A$1001,A272,$B$2:$B$1001,B272))</f>
        <v/>
      </c>
    </row>
    <row r="273">
      <c r="A273" s="7" t="n"/>
      <c r="B273" s="6" t="n"/>
      <c r="C273" s="6" t="n"/>
      <c r="D273" s="6">
        <f>IF(C273="","",IFERROR(VLOOKUP(C273,Lists!$C:$D,2,FALSE),""))</f>
        <v/>
      </c>
      <c r="E273" s="6" t="n"/>
      <c r="F273" s="6" t="n"/>
      <c r="G273" s="7">
        <f>IF(A273="","",A273+(7-WEEKDAY(A273,2)))</f>
        <v/>
      </c>
      <c r="H273" s="6">
        <f>IF(OR(A273="",B273=""),"",SUMIFS($E$2:$E$1001,$A$2:$A$1001,A273,$B$2:$B$1001,B273))</f>
        <v/>
      </c>
    </row>
    <row r="274">
      <c r="A274" s="7" t="n"/>
      <c r="B274" s="6" t="n"/>
      <c r="C274" s="6" t="n"/>
      <c r="D274" s="6">
        <f>IF(C274="","",IFERROR(VLOOKUP(C274,Lists!$C:$D,2,FALSE),""))</f>
        <v/>
      </c>
      <c r="E274" s="6" t="n"/>
      <c r="F274" s="6" t="n"/>
      <c r="G274" s="7">
        <f>IF(A274="","",A274+(7-WEEKDAY(A274,2)))</f>
        <v/>
      </c>
      <c r="H274" s="6">
        <f>IF(OR(A274="",B274=""),"",SUMIFS($E$2:$E$1001,$A$2:$A$1001,A274,$B$2:$B$1001,B274))</f>
        <v/>
      </c>
    </row>
    <row r="275">
      <c r="A275" s="7" t="n"/>
      <c r="B275" s="6" t="n"/>
      <c r="C275" s="6" t="n"/>
      <c r="D275" s="6">
        <f>IF(C275="","",IFERROR(VLOOKUP(C275,Lists!$C:$D,2,FALSE),""))</f>
        <v/>
      </c>
      <c r="E275" s="6" t="n"/>
      <c r="F275" s="6" t="n"/>
      <c r="G275" s="7">
        <f>IF(A275="","",A275+(7-WEEKDAY(A275,2)))</f>
        <v/>
      </c>
      <c r="H275" s="6">
        <f>IF(OR(A275="",B275=""),"",SUMIFS($E$2:$E$1001,$A$2:$A$1001,A275,$B$2:$B$1001,B275))</f>
        <v/>
      </c>
    </row>
    <row r="276">
      <c r="A276" s="7" t="n"/>
      <c r="B276" s="6" t="n"/>
      <c r="C276" s="6" t="n"/>
      <c r="D276" s="6">
        <f>IF(C276="","",IFERROR(VLOOKUP(C276,Lists!$C:$D,2,FALSE),""))</f>
        <v/>
      </c>
      <c r="E276" s="6" t="n"/>
      <c r="F276" s="6" t="n"/>
      <c r="G276" s="7">
        <f>IF(A276="","",A276+(7-WEEKDAY(A276,2)))</f>
        <v/>
      </c>
      <c r="H276" s="6">
        <f>IF(OR(A276="",B276=""),"",SUMIFS($E$2:$E$1001,$A$2:$A$1001,A276,$B$2:$B$1001,B276))</f>
        <v/>
      </c>
    </row>
    <row r="277">
      <c r="A277" s="7" t="n"/>
      <c r="B277" s="6" t="n"/>
      <c r="C277" s="6" t="n"/>
      <c r="D277" s="6">
        <f>IF(C277="","",IFERROR(VLOOKUP(C277,Lists!$C:$D,2,FALSE),""))</f>
        <v/>
      </c>
      <c r="E277" s="6" t="n"/>
      <c r="F277" s="6" t="n"/>
      <c r="G277" s="7">
        <f>IF(A277="","",A277+(7-WEEKDAY(A277,2)))</f>
        <v/>
      </c>
      <c r="H277" s="6">
        <f>IF(OR(A277="",B277=""),"",SUMIFS($E$2:$E$1001,$A$2:$A$1001,A277,$B$2:$B$1001,B277))</f>
        <v/>
      </c>
    </row>
    <row r="278">
      <c r="A278" s="7" t="n"/>
      <c r="B278" s="6" t="n"/>
      <c r="C278" s="6" t="n"/>
      <c r="D278" s="6">
        <f>IF(C278="","",IFERROR(VLOOKUP(C278,Lists!$C:$D,2,FALSE),""))</f>
        <v/>
      </c>
      <c r="E278" s="6" t="n"/>
      <c r="F278" s="6" t="n"/>
      <c r="G278" s="7">
        <f>IF(A278="","",A278+(7-WEEKDAY(A278,2)))</f>
        <v/>
      </c>
      <c r="H278" s="6">
        <f>IF(OR(A278="",B278=""),"",SUMIFS($E$2:$E$1001,$A$2:$A$1001,A278,$B$2:$B$1001,B278))</f>
        <v/>
      </c>
    </row>
    <row r="279">
      <c r="A279" s="7" t="n"/>
      <c r="B279" s="6" t="n"/>
      <c r="C279" s="6" t="n"/>
      <c r="D279" s="6">
        <f>IF(C279="","",IFERROR(VLOOKUP(C279,Lists!$C:$D,2,FALSE),""))</f>
        <v/>
      </c>
      <c r="E279" s="6" t="n"/>
      <c r="F279" s="6" t="n"/>
      <c r="G279" s="7">
        <f>IF(A279="","",A279+(7-WEEKDAY(A279,2)))</f>
        <v/>
      </c>
      <c r="H279" s="6">
        <f>IF(OR(A279="",B279=""),"",SUMIFS($E$2:$E$1001,$A$2:$A$1001,A279,$B$2:$B$1001,B279))</f>
        <v/>
      </c>
    </row>
    <row r="280">
      <c r="A280" s="7" t="n"/>
      <c r="B280" s="6" t="n"/>
      <c r="C280" s="6" t="n"/>
      <c r="D280" s="6">
        <f>IF(C280="","",IFERROR(VLOOKUP(C280,Lists!$C:$D,2,FALSE),""))</f>
        <v/>
      </c>
      <c r="E280" s="6" t="n"/>
      <c r="F280" s="6" t="n"/>
      <c r="G280" s="7">
        <f>IF(A280="","",A280+(7-WEEKDAY(A280,2)))</f>
        <v/>
      </c>
      <c r="H280" s="6">
        <f>IF(OR(A280="",B280=""),"",SUMIFS($E$2:$E$1001,$A$2:$A$1001,A280,$B$2:$B$1001,B280))</f>
        <v/>
      </c>
    </row>
    <row r="281">
      <c r="A281" s="7" t="n"/>
      <c r="B281" s="6" t="n"/>
      <c r="C281" s="6" t="n"/>
      <c r="D281" s="6">
        <f>IF(C281="","",IFERROR(VLOOKUP(C281,Lists!$C:$D,2,FALSE),""))</f>
        <v/>
      </c>
      <c r="E281" s="6" t="n"/>
      <c r="F281" s="6" t="n"/>
      <c r="G281" s="7">
        <f>IF(A281="","",A281+(7-WEEKDAY(A281,2)))</f>
        <v/>
      </c>
      <c r="H281" s="6">
        <f>IF(OR(A281="",B281=""),"",SUMIFS($E$2:$E$1001,$A$2:$A$1001,A281,$B$2:$B$1001,B281))</f>
        <v/>
      </c>
    </row>
    <row r="282">
      <c r="A282" s="7" t="n"/>
      <c r="B282" s="6" t="n"/>
      <c r="C282" s="6" t="n"/>
      <c r="D282" s="6">
        <f>IF(C282="","",IFERROR(VLOOKUP(C282,Lists!$C:$D,2,FALSE),""))</f>
        <v/>
      </c>
      <c r="E282" s="6" t="n"/>
      <c r="F282" s="6" t="n"/>
      <c r="G282" s="7">
        <f>IF(A282="","",A282+(7-WEEKDAY(A282,2)))</f>
        <v/>
      </c>
      <c r="H282" s="6">
        <f>IF(OR(A282="",B282=""),"",SUMIFS($E$2:$E$1001,$A$2:$A$1001,A282,$B$2:$B$1001,B282))</f>
        <v/>
      </c>
    </row>
    <row r="283">
      <c r="A283" s="7" t="n"/>
      <c r="B283" s="6" t="n"/>
      <c r="C283" s="6" t="n"/>
      <c r="D283" s="6">
        <f>IF(C283="","",IFERROR(VLOOKUP(C283,Lists!$C:$D,2,FALSE),""))</f>
        <v/>
      </c>
      <c r="E283" s="6" t="n"/>
      <c r="F283" s="6" t="n"/>
      <c r="G283" s="7">
        <f>IF(A283="","",A283+(7-WEEKDAY(A283,2)))</f>
        <v/>
      </c>
      <c r="H283" s="6">
        <f>IF(OR(A283="",B283=""),"",SUMIFS($E$2:$E$1001,$A$2:$A$1001,A283,$B$2:$B$1001,B283))</f>
        <v/>
      </c>
    </row>
    <row r="284">
      <c r="A284" s="7" t="n"/>
      <c r="B284" s="6" t="n"/>
      <c r="C284" s="6" t="n"/>
      <c r="D284" s="6">
        <f>IF(C284="","",IFERROR(VLOOKUP(C284,Lists!$C:$D,2,FALSE),""))</f>
        <v/>
      </c>
      <c r="E284" s="6" t="n"/>
      <c r="F284" s="6" t="n"/>
      <c r="G284" s="7">
        <f>IF(A284="","",A284+(7-WEEKDAY(A284,2)))</f>
        <v/>
      </c>
      <c r="H284" s="6">
        <f>IF(OR(A284="",B284=""),"",SUMIFS($E$2:$E$1001,$A$2:$A$1001,A284,$B$2:$B$1001,B284))</f>
        <v/>
      </c>
    </row>
    <row r="285">
      <c r="A285" s="7" t="n"/>
      <c r="B285" s="6" t="n"/>
      <c r="C285" s="6" t="n"/>
      <c r="D285" s="6">
        <f>IF(C285="","",IFERROR(VLOOKUP(C285,Lists!$C:$D,2,FALSE),""))</f>
        <v/>
      </c>
      <c r="E285" s="6" t="n"/>
      <c r="F285" s="6" t="n"/>
      <c r="G285" s="7">
        <f>IF(A285="","",A285+(7-WEEKDAY(A285,2)))</f>
        <v/>
      </c>
      <c r="H285" s="6">
        <f>IF(OR(A285="",B285=""),"",SUMIFS($E$2:$E$1001,$A$2:$A$1001,A285,$B$2:$B$1001,B285))</f>
        <v/>
      </c>
    </row>
    <row r="286">
      <c r="A286" s="7" t="n"/>
      <c r="B286" s="6" t="n"/>
      <c r="C286" s="6" t="n"/>
      <c r="D286" s="6">
        <f>IF(C286="","",IFERROR(VLOOKUP(C286,Lists!$C:$D,2,FALSE),""))</f>
        <v/>
      </c>
      <c r="E286" s="6" t="n"/>
      <c r="F286" s="6" t="n"/>
      <c r="G286" s="7">
        <f>IF(A286="","",A286+(7-WEEKDAY(A286,2)))</f>
        <v/>
      </c>
      <c r="H286" s="6">
        <f>IF(OR(A286="",B286=""),"",SUMIFS($E$2:$E$1001,$A$2:$A$1001,A286,$B$2:$B$1001,B286))</f>
        <v/>
      </c>
    </row>
    <row r="287">
      <c r="A287" s="7" t="n"/>
      <c r="B287" s="6" t="n"/>
      <c r="C287" s="6" t="n"/>
      <c r="D287" s="6">
        <f>IF(C287="","",IFERROR(VLOOKUP(C287,Lists!$C:$D,2,FALSE),""))</f>
        <v/>
      </c>
      <c r="E287" s="6" t="n"/>
      <c r="F287" s="6" t="n"/>
      <c r="G287" s="7">
        <f>IF(A287="","",A287+(7-WEEKDAY(A287,2)))</f>
        <v/>
      </c>
      <c r="H287" s="6">
        <f>IF(OR(A287="",B287=""),"",SUMIFS($E$2:$E$1001,$A$2:$A$1001,A287,$B$2:$B$1001,B287))</f>
        <v/>
      </c>
    </row>
    <row r="288">
      <c r="A288" s="7" t="n"/>
      <c r="B288" s="6" t="n"/>
      <c r="C288" s="6" t="n"/>
      <c r="D288" s="6">
        <f>IF(C288="","",IFERROR(VLOOKUP(C288,Lists!$C:$D,2,FALSE),""))</f>
        <v/>
      </c>
      <c r="E288" s="6" t="n"/>
      <c r="F288" s="6" t="n"/>
      <c r="G288" s="7">
        <f>IF(A288="","",A288+(7-WEEKDAY(A288,2)))</f>
        <v/>
      </c>
      <c r="H288" s="6">
        <f>IF(OR(A288="",B288=""),"",SUMIFS($E$2:$E$1001,$A$2:$A$1001,A288,$B$2:$B$1001,B288))</f>
        <v/>
      </c>
    </row>
    <row r="289">
      <c r="A289" s="7" t="n"/>
      <c r="B289" s="6" t="n"/>
      <c r="C289" s="6" t="n"/>
      <c r="D289" s="6">
        <f>IF(C289="","",IFERROR(VLOOKUP(C289,Lists!$C:$D,2,FALSE),""))</f>
        <v/>
      </c>
      <c r="E289" s="6" t="n"/>
      <c r="F289" s="6" t="n"/>
      <c r="G289" s="7">
        <f>IF(A289="","",A289+(7-WEEKDAY(A289,2)))</f>
        <v/>
      </c>
      <c r="H289" s="6">
        <f>IF(OR(A289="",B289=""),"",SUMIFS($E$2:$E$1001,$A$2:$A$1001,A289,$B$2:$B$1001,B289))</f>
        <v/>
      </c>
    </row>
    <row r="290">
      <c r="A290" s="7" t="n"/>
      <c r="B290" s="6" t="n"/>
      <c r="C290" s="6" t="n"/>
      <c r="D290" s="6">
        <f>IF(C290="","",IFERROR(VLOOKUP(C290,Lists!$C:$D,2,FALSE),""))</f>
        <v/>
      </c>
      <c r="E290" s="6" t="n"/>
      <c r="F290" s="6" t="n"/>
      <c r="G290" s="7">
        <f>IF(A290="","",A290+(7-WEEKDAY(A290,2)))</f>
        <v/>
      </c>
      <c r="H290" s="6">
        <f>IF(OR(A290="",B290=""),"",SUMIFS($E$2:$E$1001,$A$2:$A$1001,A290,$B$2:$B$1001,B290))</f>
        <v/>
      </c>
    </row>
    <row r="291">
      <c r="A291" s="7" t="n"/>
      <c r="B291" s="6" t="n"/>
      <c r="C291" s="6" t="n"/>
      <c r="D291" s="6">
        <f>IF(C291="","",IFERROR(VLOOKUP(C291,Lists!$C:$D,2,FALSE),""))</f>
        <v/>
      </c>
      <c r="E291" s="6" t="n"/>
      <c r="F291" s="6" t="n"/>
      <c r="G291" s="7">
        <f>IF(A291="","",A291+(7-WEEKDAY(A291,2)))</f>
        <v/>
      </c>
      <c r="H291" s="6">
        <f>IF(OR(A291="",B291=""),"",SUMIFS($E$2:$E$1001,$A$2:$A$1001,A291,$B$2:$B$1001,B291))</f>
        <v/>
      </c>
    </row>
    <row r="292">
      <c r="A292" s="7" t="n"/>
      <c r="B292" s="6" t="n"/>
      <c r="C292" s="6" t="n"/>
      <c r="D292" s="6">
        <f>IF(C292="","",IFERROR(VLOOKUP(C292,Lists!$C:$D,2,FALSE),""))</f>
        <v/>
      </c>
      <c r="E292" s="6" t="n"/>
      <c r="F292" s="6" t="n"/>
      <c r="G292" s="7">
        <f>IF(A292="","",A292+(7-WEEKDAY(A292,2)))</f>
        <v/>
      </c>
      <c r="H292" s="6">
        <f>IF(OR(A292="",B292=""),"",SUMIFS($E$2:$E$1001,$A$2:$A$1001,A292,$B$2:$B$1001,B292))</f>
        <v/>
      </c>
    </row>
    <row r="293">
      <c r="A293" s="7" t="n"/>
      <c r="B293" s="6" t="n"/>
      <c r="C293" s="6" t="n"/>
      <c r="D293" s="6">
        <f>IF(C293="","",IFERROR(VLOOKUP(C293,Lists!$C:$D,2,FALSE),""))</f>
        <v/>
      </c>
      <c r="E293" s="6" t="n"/>
      <c r="F293" s="6" t="n"/>
      <c r="G293" s="7">
        <f>IF(A293="","",A293+(7-WEEKDAY(A293,2)))</f>
        <v/>
      </c>
      <c r="H293" s="6">
        <f>IF(OR(A293="",B293=""),"",SUMIFS($E$2:$E$1001,$A$2:$A$1001,A293,$B$2:$B$1001,B293))</f>
        <v/>
      </c>
    </row>
    <row r="294">
      <c r="A294" s="7" t="n"/>
      <c r="B294" s="6" t="n"/>
      <c r="C294" s="6" t="n"/>
      <c r="D294" s="6">
        <f>IF(C294="","",IFERROR(VLOOKUP(C294,Lists!$C:$D,2,FALSE),""))</f>
        <v/>
      </c>
      <c r="E294" s="6" t="n"/>
      <c r="F294" s="6" t="n"/>
      <c r="G294" s="7">
        <f>IF(A294="","",A294+(7-WEEKDAY(A294,2)))</f>
        <v/>
      </c>
      <c r="H294" s="6">
        <f>IF(OR(A294="",B294=""),"",SUMIFS($E$2:$E$1001,$A$2:$A$1001,A294,$B$2:$B$1001,B294))</f>
        <v/>
      </c>
    </row>
    <row r="295">
      <c r="A295" s="7" t="n"/>
      <c r="B295" s="6" t="n"/>
      <c r="C295" s="6" t="n"/>
      <c r="D295" s="6">
        <f>IF(C295="","",IFERROR(VLOOKUP(C295,Lists!$C:$D,2,FALSE),""))</f>
        <v/>
      </c>
      <c r="E295" s="6" t="n"/>
      <c r="F295" s="6" t="n"/>
      <c r="G295" s="7">
        <f>IF(A295="","",A295+(7-WEEKDAY(A295,2)))</f>
        <v/>
      </c>
      <c r="H295" s="6">
        <f>IF(OR(A295="",B295=""),"",SUMIFS($E$2:$E$1001,$A$2:$A$1001,A295,$B$2:$B$1001,B295))</f>
        <v/>
      </c>
    </row>
    <row r="296">
      <c r="A296" s="7" t="n"/>
      <c r="B296" s="6" t="n"/>
      <c r="C296" s="6" t="n"/>
      <c r="D296" s="6">
        <f>IF(C296="","",IFERROR(VLOOKUP(C296,Lists!$C:$D,2,FALSE),""))</f>
        <v/>
      </c>
      <c r="E296" s="6" t="n"/>
      <c r="F296" s="6" t="n"/>
      <c r="G296" s="7">
        <f>IF(A296="","",A296+(7-WEEKDAY(A296,2)))</f>
        <v/>
      </c>
      <c r="H296" s="6">
        <f>IF(OR(A296="",B296=""),"",SUMIFS($E$2:$E$1001,$A$2:$A$1001,A296,$B$2:$B$1001,B296))</f>
        <v/>
      </c>
    </row>
    <row r="297">
      <c r="A297" s="7" t="n"/>
      <c r="B297" s="6" t="n"/>
      <c r="C297" s="6" t="n"/>
      <c r="D297" s="6">
        <f>IF(C297="","",IFERROR(VLOOKUP(C297,Lists!$C:$D,2,FALSE),""))</f>
        <v/>
      </c>
      <c r="E297" s="6" t="n"/>
      <c r="F297" s="6" t="n"/>
      <c r="G297" s="7">
        <f>IF(A297="","",A297+(7-WEEKDAY(A297,2)))</f>
        <v/>
      </c>
      <c r="H297" s="6">
        <f>IF(OR(A297="",B297=""),"",SUMIFS($E$2:$E$1001,$A$2:$A$1001,A297,$B$2:$B$1001,B297))</f>
        <v/>
      </c>
    </row>
    <row r="298">
      <c r="A298" s="7" t="n"/>
      <c r="B298" s="6" t="n"/>
      <c r="C298" s="6" t="n"/>
      <c r="D298" s="6">
        <f>IF(C298="","",IFERROR(VLOOKUP(C298,Lists!$C:$D,2,FALSE),""))</f>
        <v/>
      </c>
      <c r="E298" s="6" t="n"/>
      <c r="F298" s="6" t="n"/>
      <c r="G298" s="7">
        <f>IF(A298="","",A298+(7-WEEKDAY(A298,2)))</f>
        <v/>
      </c>
      <c r="H298" s="6">
        <f>IF(OR(A298="",B298=""),"",SUMIFS($E$2:$E$1001,$A$2:$A$1001,A298,$B$2:$B$1001,B298))</f>
        <v/>
      </c>
    </row>
    <row r="299">
      <c r="A299" s="7" t="n"/>
      <c r="B299" s="6" t="n"/>
      <c r="C299" s="6" t="n"/>
      <c r="D299" s="6">
        <f>IF(C299="","",IFERROR(VLOOKUP(C299,Lists!$C:$D,2,FALSE),""))</f>
        <v/>
      </c>
      <c r="E299" s="6" t="n"/>
      <c r="F299" s="6" t="n"/>
      <c r="G299" s="7">
        <f>IF(A299="","",A299+(7-WEEKDAY(A299,2)))</f>
        <v/>
      </c>
      <c r="H299" s="6">
        <f>IF(OR(A299="",B299=""),"",SUMIFS($E$2:$E$1001,$A$2:$A$1001,A299,$B$2:$B$1001,B299))</f>
        <v/>
      </c>
    </row>
    <row r="300">
      <c r="A300" s="7" t="n"/>
      <c r="B300" s="6" t="n"/>
      <c r="C300" s="6" t="n"/>
      <c r="D300" s="6">
        <f>IF(C300="","",IFERROR(VLOOKUP(C300,Lists!$C:$D,2,FALSE),""))</f>
        <v/>
      </c>
      <c r="E300" s="6" t="n"/>
      <c r="F300" s="6" t="n"/>
      <c r="G300" s="7">
        <f>IF(A300="","",A300+(7-WEEKDAY(A300,2)))</f>
        <v/>
      </c>
      <c r="H300" s="6">
        <f>IF(OR(A300="",B300=""),"",SUMIFS($E$2:$E$1001,$A$2:$A$1001,A300,$B$2:$B$1001,B300))</f>
        <v/>
      </c>
    </row>
    <row r="301">
      <c r="A301" s="7" t="n"/>
      <c r="B301" s="6" t="n"/>
      <c r="C301" s="6" t="n"/>
      <c r="D301" s="6">
        <f>IF(C301="","",IFERROR(VLOOKUP(C301,Lists!$C:$D,2,FALSE),""))</f>
        <v/>
      </c>
      <c r="E301" s="6" t="n"/>
      <c r="F301" s="6" t="n"/>
      <c r="G301" s="7">
        <f>IF(A301="","",A301+(7-WEEKDAY(A301,2)))</f>
        <v/>
      </c>
      <c r="H301" s="6">
        <f>IF(OR(A301="",B301=""),"",SUMIFS($E$2:$E$1001,$A$2:$A$1001,A301,$B$2:$B$1001,B301))</f>
        <v/>
      </c>
    </row>
    <row r="302">
      <c r="A302" s="7" t="n"/>
      <c r="B302" s="6" t="n"/>
      <c r="C302" s="6" t="n"/>
      <c r="D302" s="6">
        <f>IF(C302="","",IFERROR(VLOOKUP(C302,Lists!$C:$D,2,FALSE),""))</f>
        <v/>
      </c>
      <c r="E302" s="6" t="n"/>
      <c r="F302" s="6" t="n"/>
      <c r="G302" s="7">
        <f>IF(A302="","",A302+(7-WEEKDAY(A302,2)))</f>
        <v/>
      </c>
      <c r="H302" s="6">
        <f>IF(OR(A302="",B302=""),"",SUMIFS($E$2:$E$1001,$A$2:$A$1001,A302,$B$2:$B$1001,B302))</f>
        <v/>
      </c>
    </row>
    <row r="303">
      <c r="A303" s="7" t="n"/>
      <c r="B303" s="6" t="n"/>
      <c r="C303" s="6" t="n"/>
      <c r="D303" s="6">
        <f>IF(C303="","",IFERROR(VLOOKUP(C303,Lists!$C:$D,2,FALSE),""))</f>
        <v/>
      </c>
      <c r="E303" s="6" t="n"/>
      <c r="F303" s="6" t="n"/>
      <c r="G303" s="7">
        <f>IF(A303="","",A303+(7-WEEKDAY(A303,2)))</f>
        <v/>
      </c>
      <c r="H303" s="6">
        <f>IF(OR(A303="",B303=""),"",SUMIFS($E$2:$E$1001,$A$2:$A$1001,A303,$B$2:$B$1001,B303))</f>
        <v/>
      </c>
    </row>
    <row r="304">
      <c r="A304" s="7" t="n"/>
      <c r="B304" s="6" t="n"/>
      <c r="C304" s="6" t="n"/>
      <c r="D304" s="6">
        <f>IF(C304="","",IFERROR(VLOOKUP(C304,Lists!$C:$D,2,FALSE),""))</f>
        <v/>
      </c>
      <c r="E304" s="6" t="n"/>
      <c r="F304" s="6" t="n"/>
      <c r="G304" s="7">
        <f>IF(A304="","",A304+(7-WEEKDAY(A304,2)))</f>
        <v/>
      </c>
      <c r="H304" s="6">
        <f>IF(OR(A304="",B304=""),"",SUMIFS($E$2:$E$1001,$A$2:$A$1001,A304,$B$2:$B$1001,B304))</f>
        <v/>
      </c>
    </row>
    <row r="305">
      <c r="A305" s="7" t="n"/>
      <c r="B305" s="6" t="n"/>
      <c r="C305" s="6" t="n"/>
      <c r="D305" s="6">
        <f>IF(C305="","",IFERROR(VLOOKUP(C305,Lists!$C:$D,2,FALSE),""))</f>
        <v/>
      </c>
      <c r="E305" s="6" t="n"/>
      <c r="F305" s="6" t="n"/>
      <c r="G305" s="7">
        <f>IF(A305="","",A305+(7-WEEKDAY(A305,2)))</f>
        <v/>
      </c>
      <c r="H305" s="6">
        <f>IF(OR(A305="",B305=""),"",SUMIFS($E$2:$E$1001,$A$2:$A$1001,A305,$B$2:$B$1001,B305))</f>
        <v/>
      </c>
    </row>
    <row r="306">
      <c r="A306" s="7" t="n"/>
      <c r="B306" s="6" t="n"/>
      <c r="C306" s="6" t="n"/>
      <c r="D306" s="6">
        <f>IF(C306="","",IFERROR(VLOOKUP(C306,Lists!$C:$D,2,FALSE),""))</f>
        <v/>
      </c>
      <c r="E306" s="6" t="n"/>
      <c r="F306" s="6" t="n"/>
      <c r="G306" s="7">
        <f>IF(A306="","",A306+(7-WEEKDAY(A306,2)))</f>
        <v/>
      </c>
      <c r="H306" s="6">
        <f>IF(OR(A306="",B306=""),"",SUMIFS($E$2:$E$1001,$A$2:$A$1001,A306,$B$2:$B$1001,B306))</f>
        <v/>
      </c>
    </row>
    <row r="307">
      <c r="A307" s="7" t="n"/>
      <c r="B307" s="6" t="n"/>
      <c r="C307" s="6" t="n"/>
      <c r="D307" s="6">
        <f>IF(C307="","",IFERROR(VLOOKUP(C307,Lists!$C:$D,2,FALSE),""))</f>
        <v/>
      </c>
      <c r="E307" s="6" t="n"/>
      <c r="F307" s="6" t="n"/>
      <c r="G307" s="7">
        <f>IF(A307="","",A307+(7-WEEKDAY(A307,2)))</f>
        <v/>
      </c>
      <c r="H307" s="6">
        <f>IF(OR(A307="",B307=""),"",SUMIFS($E$2:$E$1001,$A$2:$A$1001,A307,$B$2:$B$1001,B307))</f>
        <v/>
      </c>
    </row>
    <row r="308">
      <c r="A308" s="7" t="n"/>
      <c r="B308" s="6" t="n"/>
      <c r="C308" s="6" t="n"/>
      <c r="D308" s="6">
        <f>IF(C308="","",IFERROR(VLOOKUP(C308,Lists!$C:$D,2,FALSE),""))</f>
        <v/>
      </c>
      <c r="E308" s="6" t="n"/>
      <c r="F308" s="6" t="n"/>
      <c r="G308" s="7">
        <f>IF(A308="","",A308+(7-WEEKDAY(A308,2)))</f>
        <v/>
      </c>
      <c r="H308" s="6">
        <f>IF(OR(A308="",B308=""),"",SUMIFS($E$2:$E$1001,$A$2:$A$1001,A308,$B$2:$B$1001,B308))</f>
        <v/>
      </c>
    </row>
    <row r="309">
      <c r="A309" s="7" t="n"/>
      <c r="B309" s="6" t="n"/>
      <c r="C309" s="6" t="n"/>
      <c r="D309" s="6">
        <f>IF(C309="","",IFERROR(VLOOKUP(C309,Lists!$C:$D,2,FALSE),""))</f>
        <v/>
      </c>
      <c r="E309" s="6" t="n"/>
      <c r="F309" s="6" t="n"/>
      <c r="G309" s="7">
        <f>IF(A309="","",A309+(7-WEEKDAY(A309,2)))</f>
        <v/>
      </c>
      <c r="H309" s="6">
        <f>IF(OR(A309="",B309=""),"",SUMIFS($E$2:$E$1001,$A$2:$A$1001,A309,$B$2:$B$1001,B309))</f>
        <v/>
      </c>
    </row>
    <row r="310">
      <c r="A310" s="7" t="n"/>
      <c r="B310" s="6" t="n"/>
      <c r="C310" s="6" t="n"/>
      <c r="D310" s="6">
        <f>IF(C310="","",IFERROR(VLOOKUP(C310,Lists!$C:$D,2,FALSE),""))</f>
        <v/>
      </c>
      <c r="E310" s="6" t="n"/>
      <c r="F310" s="6" t="n"/>
      <c r="G310" s="7">
        <f>IF(A310="","",A310+(7-WEEKDAY(A310,2)))</f>
        <v/>
      </c>
      <c r="H310" s="6">
        <f>IF(OR(A310="",B310=""),"",SUMIFS($E$2:$E$1001,$A$2:$A$1001,A310,$B$2:$B$1001,B310))</f>
        <v/>
      </c>
    </row>
    <row r="311">
      <c r="A311" s="7" t="n"/>
      <c r="B311" s="6" t="n"/>
      <c r="C311" s="6" t="n"/>
      <c r="D311" s="6">
        <f>IF(C311="","",IFERROR(VLOOKUP(C311,Lists!$C:$D,2,FALSE),""))</f>
        <v/>
      </c>
      <c r="E311" s="6" t="n"/>
      <c r="F311" s="6" t="n"/>
      <c r="G311" s="7">
        <f>IF(A311="","",A311+(7-WEEKDAY(A311,2)))</f>
        <v/>
      </c>
      <c r="H311" s="6">
        <f>IF(OR(A311="",B311=""),"",SUMIFS($E$2:$E$1001,$A$2:$A$1001,A311,$B$2:$B$1001,B311))</f>
        <v/>
      </c>
    </row>
    <row r="312">
      <c r="A312" s="7" t="n"/>
      <c r="B312" s="6" t="n"/>
      <c r="C312" s="6" t="n"/>
      <c r="D312" s="6">
        <f>IF(C312="","",IFERROR(VLOOKUP(C312,Lists!$C:$D,2,FALSE),""))</f>
        <v/>
      </c>
      <c r="E312" s="6" t="n"/>
      <c r="F312" s="6" t="n"/>
      <c r="G312" s="7">
        <f>IF(A312="","",A312+(7-WEEKDAY(A312,2)))</f>
        <v/>
      </c>
      <c r="H312" s="6">
        <f>IF(OR(A312="",B312=""),"",SUMIFS($E$2:$E$1001,$A$2:$A$1001,A312,$B$2:$B$1001,B312))</f>
        <v/>
      </c>
    </row>
    <row r="313">
      <c r="A313" s="7" t="n"/>
      <c r="B313" s="6" t="n"/>
      <c r="C313" s="6" t="n"/>
      <c r="D313" s="6">
        <f>IF(C313="","",IFERROR(VLOOKUP(C313,Lists!$C:$D,2,FALSE),""))</f>
        <v/>
      </c>
      <c r="E313" s="6" t="n"/>
      <c r="F313" s="6" t="n"/>
      <c r="G313" s="7">
        <f>IF(A313="","",A313+(7-WEEKDAY(A313,2)))</f>
        <v/>
      </c>
      <c r="H313" s="6">
        <f>IF(OR(A313="",B313=""),"",SUMIFS($E$2:$E$1001,$A$2:$A$1001,A313,$B$2:$B$1001,B313))</f>
        <v/>
      </c>
    </row>
    <row r="314">
      <c r="A314" s="7" t="n"/>
      <c r="B314" s="6" t="n"/>
      <c r="C314" s="6" t="n"/>
      <c r="D314" s="6">
        <f>IF(C314="","",IFERROR(VLOOKUP(C314,Lists!$C:$D,2,FALSE),""))</f>
        <v/>
      </c>
      <c r="E314" s="6" t="n"/>
      <c r="F314" s="6" t="n"/>
      <c r="G314" s="7">
        <f>IF(A314="","",A314+(7-WEEKDAY(A314,2)))</f>
        <v/>
      </c>
      <c r="H314" s="6">
        <f>IF(OR(A314="",B314=""),"",SUMIFS($E$2:$E$1001,$A$2:$A$1001,A314,$B$2:$B$1001,B314))</f>
        <v/>
      </c>
    </row>
    <row r="315">
      <c r="A315" s="7" t="n"/>
      <c r="B315" s="6" t="n"/>
      <c r="C315" s="6" t="n"/>
      <c r="D315" s="6">
        <f>IF(C315="","",IFERROR(VLOOKUP(C315,Lists!$C:$D,2,FALSE),""))</f>
        <v/>
      </c>
      <c r="E315" s="6" t="n"/>
      <c r="F315" s="6" t="n"/>
      <c r="G315" s="7">
        <f>IF(A315="","",A315+(7-WEEKDAY(A315,2)))</f>
        <v/>
      </c>
      <c r="H315" s="6">
        <f>IF(OR(A315="",B315=""),"",SUMIFS($E$2:$E$1001,$A$2:$A$1001,A315,$B$2:$B$1001,B315))</f>
        <v/>
      </c>
    </row>
    <row r="316">
      <c r="A316" s="7" t="n"/>
      <c r="B316" s="6" t="n"/>
      <c r="C316" s="6" t="n"/>
      <c r="D316" s="6">
        <f>IF(C316="","",IFERROR(VLOOKUP(C316,Lists!$C:$D,2,FALSE),""))</f>
        <v/>
      </c>
      <c r="E316" s="6" t="n"/>
      <c r="F316" s="6" t="n"/>
      <c r="G316" s="7">
        <f>IF(A316="","",A316+(7-WEEKDAY(A316,2)))</f>
        <v/>
      </c>
      <c r="H316" s="6">
        <f>IF(OR(A316="",B316=""),"",SUMIFS($E$2:$E$1001,$A$2:$A$1001,A316,$B$2:$B$1001,B316))</f>
        <v/>
      </c>
    </row>
    <row r="317">
      <c r="A317" s="7" t="n"/>
      <c r="B317" s="6" t="n"/>
      <c r="C317" s="6" t="n"/>
      <c r="D317" s="6">
        <f>IF(C317="","",IFERROR(VLOOKUP(C317,Lists!$C:$D,2,FALSE),""))</f>
        <v/>
      </c>
      <c r="E317" s="6" t="n"/>
      <c r="F317" s="6" t="n"/>
      <c r="G317" s="7">
        <f>IF(A317="","",A317+(7-WEEKDAY(A317,2)))</f>
        <v/>
      </c>
      <c r="H317" s="6">
        <f>IF(OR(A317="",B317=""),"",SUMIFS($E$2:$E$1001,$A$2:$A$1001,A317,$B$2:$B$1001,B317))</f>
        <v/>
      </c>
    </row>
    <row r="318">
      <c r="A318" s="7" t="n"/>
      <c r="B318" s="6" t="n"/>
      <c r="C318" s="6" t="n"/>
      <c r="D318" s="6">
        <f>IF(C318="","",IFERROR(VLOOKUP(C318,Lists!$C:$D,2,FALSE),""))</f>
        <v/>
      </c>
      <c r="E318" s="6" t="n"/>
      <c r="F318" s="6" t="n"/>
      <c r="G318" s="7">
        <f>IF(A318="","",A318+(7-WEEKDAY(A318,2)))</f>
        <v/>
      </c>
      <c r="H318" s="6">
        <f>IF(OR(A318="",B318=""),"",SUMIFS($E$2:$E$1001,$A$2:$A$1001,A318,$B$2:$B$1001,B318))</f>
        <v/>
      </c>
    </row>
    <row r="319">
      <c r="A319" s="7" t="n"/>
      <c r="B319" s="6" t="n"/>
      <c r="C319" s="6" t="n"/>
      <c r="D319" s="6">
        <f>IF(C319="","",IFERROR(VLOOKUP(C319,Lists!$C:$D,2,FALSE),""))</f>
        <v/>
      </c>
      <c r="E319" s="6" t="n"/>
      <c r="F319" s="6" t="n"/>
      <c r="G319" s="7">
        <f>IF(A319="","",A319+(7-WEEKDAY(A319,2)))</f>
        <v/>
      </c>
      <c r="H319" s="6">
        <f>IF(OR(A319="",B319=""),"",SUMIFS($E$2:$E$1001,$A$2:$A$1001,A319,$B$2:$B$1001,B319))</f>
        <v/>
      </c>
    </row>
    <row r="320">
      <c r="A320" s="7" t="n"/>
      <c r="B320" s="6" t="n"/>
      <c r="C320" s="6" t="n"/>
      <c r="D320" s="6">
        <f>IF(C320="","",IFERROR(VLOOKUP(C320,Lists!$C:$D,2,FALSE),""))</f>
        <v/>
      </c>
      <c r="E320" s="6" t="n"/>
      <c r="F320" s="6" t="n"/>
      <c r="G320" s="7">
        <f>IF(A320="","",A320+(7-WEEKDAY(A320,2)))</f>
        <v/>
      </c>
      <c r="H320" s="6">
        <f>IF(OR(A320="",B320=""),"",SUMIFS($E$2:$E$1001,$A$2:$A$1001,A320,$B$2:$B$1001,B320))</f>
        <v/>
      </c>
    </row>
    <row r="321">
      <c r="A321" s="7" t="n"/>
      <c r="B321" s="6" t="n"/>
      <c r="C321" s="6" t="n"/>
      <c r="D321" s="6">
        <f>IF(C321="","",IFERROR(VLOOKUP(C321,Lists!$C:$D,2,FALSE),""))</f>
        <v/>
      </c>
      <c r="E321" s="6" t="n"/>
      <c r="F321" s="6" t="n"/>
      <c r="G321" s="7">
        <f>IF(A321="","",A321+(7-WEEKDAY(A321,2)))</f>
        <v/>
      </c>
      <c r="H321" s="6">
        <f>IF(OR(A321="",B321=""),"",SUMIFS($E$2:$E$1001,$A$2:$A$1001,A321,$B$2:$B$1001,B321))</f>
        <v/>
      </c>
    </row>
    <row r="322">
      <c r="A322" s="7" t="n"/>
      <c r="B322" s="6" t="n"/>
      <c r="C322" s="6" t="n"/>
      <c r="D322" s="6">
        <f>IF(C322="","",IFERROR(VLOOKUP(C322,Lists!$C:$D,2,FALSE),""))</f>
        <v/>
      </c>
      <c r="E322" s="6" t="n"/>
      <c r="F322" s="6" t="n"/>
      <c r="G322" s="7">
        <f>IF(A322="","",A322+(7-WEEKDAY(A322,2)))</f>
        <v/>
      </c>
      <c r="H322" s="6">
        <f>IF(OR(A322="",B322=""),"",SUMIFS($E$2:$E$1001,$A$2:$A$1001,A322,$B$2:$B$1001,B322))</f>
        <v/>
      </c>
    </row>
    <row r="323">
      <c r="A323" s="7" t="n"/>
      <c r="B323" s="6" t="n"/>
      <c r="C323" s="6" t="n"/>
      <c r="D323" s="6">
        <f>IF(C323="","",IFERROR(VLOOKUP(C323,Lists!$C:$D,2,FALSE),""))</f>
        <v/>
      </c>
      <c r="E323" s="6" t="n"/>
      <c r="F323" s="6" t="n"/>
      <c r="G323" s="7">
        <f>IF(A323="","",A323+(7-WEEKDAY(A323,2)))</f>
        <v/>
      </c>
      <c r="H323" s="6">
        <f>IF(OR(A323="",B323=""),"",SUMIFS($E$2:$E$1001,$A$2:$A$1001,A323,$B$2:$B$1001,B323))</f>
        <v/>
      </c>
    </row>
    <row r="324">
      <c r="A324" s="7" t="n"/>
      <c r="B324" s="6" t="n"/>
      <c r="C324" s="6" t="n"/>
      <c r="D324" s="6">
        <f>IF(C324="","",IFERROR(VLOOKUP(C324,Lists!$C:$D,2,FALSE),""))</f>
        <v/>
      </c>
      <c r="E324" s="6" t="n"/>
      <c r="F324" s="6" t="n"/>
      <c r="G324" s="7">
        <f>IF(A324="","",A324+(7-WEEKDAY(A324,2)))</f>
        <v/>
      </c>
      <c r="H324" s="6">
        <f>IF(OR(A324="",B324=""),"",SUMIFS($E$2:$E$1001,$A$2:$A$1001,A324,$B$2:$B$1001,B324))</f>
        <v/>
      </c>
    </row>
    <row r="325">
      <c r="A325" s="7" t="n"/>
      <c r="B325" s="6" t="n"/>
      <c r="C325" s="6" t="n"/>
      <c r="D325" s="6">
        <f>IF(C325="","",IFERROR(VLOOKUP(C325,Lists!$C:$D,2,FALSE),""))</f>
        <v/>
      </c>
      <c r="E325" s="6" t="n"/>
      <c r="F325" s="6" t="n"/>
      <c r="G325" s="7">
        <f>IF(A325="","",A325+(7-WEEKDAY(A325,2)))</f>
        <v/>
      </c>
      <c r="H325" s="6">
        <f>IF(OR(A325="",B325=""),"",SUMIFS($E$2:$E$1001,$A$2:$A$1001,A325,$B$2:$B$1001,B325))</f>
        <v/>
      </c>
    </row>
    <row r="326">
      <c r="A326" s="7" t="n"/>
      <c r="B326" s="6" t="n"/>
      <c r="C326" s="6" t="n"/>
      <c r="D326" s="6">
        <f>IF(C326="","",IFERROR(VLOOKUP(C326,Lists!$C:$D,2,FALSE),""))</f>
        <v/>
      </c>
      <c r="E326" s="6" t="n"/>
      <c r="F326" s="6" t="n"/>
      <c r="G326" s="7">
        <f>IF(A326="","",A326+(7-WEEKDAY(A326,2)))</f>
        <v/>
      </c>
      <c r="H326" s="6">
        <f>IF(OR(A326="",B326=""),"",SUMIFS($E$2:$E$1001,$A$2:$A$1001,A326,$B$2:$B$1001,B326))</f>
        <v/>
      </c>
    </row>
    <row r="327">
      <c r="A327" s="7" t="n"/>
      <c r="B327" s="6" t="n"/>
      <c r="C327" s="6" t="n"/>
      <c r="D327" s="6">
        <f>IF(C327="","",IFERROR(VLOOKUP(C327,Lists!$C:$D,2,FALSE),""))</f>
        <v/>
      </c>
      <c r="E327" s="6" t="n"/>
      <c r="F327" s="6" t="n"/>
      <c r="G327" s="7">
        <f>IF(A327="","",A327+(7-WEEKDAY(A327,2)))</f>
        <v/>
      </c>
      <c r="H327" s="6">
        <f>IF(OR(A327="",B327=""),"",SUMIFS($E$2:$E$1001,$A$2:$A$1001,A327,$B$2:$B$1001,B327))</f>
        <v/>
      </c>
    </row>
    <row r="328">
      <c r="A328" s="7" t="n"/>
      <c r="B328" s="6" t="n"/>
      <c r="C328" s="6" t="n"/>
      <c r="D328" s="6">
        <f>IF(C328="","",IFERROR(VLOOKUP(C328,Lists!$C:$D,2,FALSE),""))</f>
        <v/>
      </c>
      <c r="E328" s="6" t="n"/>
      <c r="F328" s="6" t="n"/>
      <c r="G328" s="7">
        <f>IF(A328="","",A328+(7-WEEKDAY(A328,2)))</f>
        <v/>
      </c>
      <c r="H328" s="6">
        <f>IF(OR(A328="",B328=""),"",SUMIFS($E$2:$E$1001,$A$2:$A$1001,A328,$B$2:$B$1001,B328))</f>
        <v/>
      </c>
    </row>
    <row r="329">
      <c r="A329" s="7" t="n"/>
      <c r="B329" s="6" t="n"/>
      <c r="C329" s="6" t="n"/>
      <c r="D329" s="6">
        <f>IF(C329="","",IFERROR(VLOOKUP(C329,Lists!$C:$D,2,FALSE),""))</f>
        <v/>
      </c>
      <c r="E329" s="6" t="n"/>
      <c r="F329" s="6" t="n"/>
      <c r="G329" s="7">
        <f>IF(A329="","",A329+(7-WEEKDAY(A329,2)))</f>
        <v/>
      </c>
      <c r="H329" s="6">
        <f>IF(OR(A329="",B329=""),"",SUMIFS($E$2:$E$1001,$A$2:$A$1001,A329,$B$2:$B$1001,B329))</f>
        <v/>
      </c>
    </row>
    <row r="330">
      <c r="A330" s="7" t="n"/>
      <c r="B330" s="6" t="n"/>
      <c r="C330" s="6" t="n"/>
      <c r="D330" s="6">
        <f>IF(C330="","",IFERROR(VLOOKUP(C330,Lists!$C:$D,2,FALSE),""))</f>
        <v/>
      </c>
      <c r="E330" s="6" t="n"/>
      <c r="F330" s="6" t="n"/>
      <c r="G330" s="7">
        <f>IF(A330="","",A330+(7-WEEKDAY(A330,2)))</f>
        <v/>
      </c>
      <c r="H330" s="6">
        <f>IF(OR(A330="",B330=""),"",SUMIFS($E$2:$E$1001,$A$2:$A$1001,A330,$B$2:$B$1001,B330))</f>
        <v/>
      </c>
    </row>
    <row r="331">
      <c r="A331" s="7" t="n"/>
      <c r="B331" s="6" t="n"/>
      <c r="C331" s="6" t="n"/>
      <c r="D331" s="6">
        <f>IF(C331="","",IFERROR(VLOOKUP(C331,Lists!$C:$D,2,FALSE),""))</f>
        <v/>
      </c>
      <c r="E331" s="6" t="n"/>
      <c r="F331" s="6" t="n"/>
      <c r="G331" s="7">
        <f>IF(A331="","",A331+(7-WEEKDAY(A331,2)))</f>
        <v/>
      </c>
      <c r="H331" s="6">
        <f>IF(OR(A331="",B331=""),"",SUMIFS($E$2:$E$1001,$A$2:$A$1001,A331,$B$2:$B$1001,B331))</f>
        <v/>
      </c>
    </row>
    <row r="332">
      <c r="A332" s="7" t="n"/>
      <c r="B332" s="6" t="n"/>
      <c r="C332" s="6" t="n"/>
      <c r="D332" s="6">
        <f>IF(C332="","",IFERROR(VLOOKUP(C332,Lists!$C:$D,2,FALSE),""))</f>
        <v/>
      </c>
      <c r="E332" s="6" t="n"/>
      <c r="F332" s="6" t="n"/>
      <c r="G332" s="7">
        <f>IF(A332="","",A332+(7-WEEKDAY(A332,2)))</f>
        <v/>
      </c>
      <c r="H332" s="6">
        <f>IF(OR(A332="",B332=""),"",SUMIFS($E$2:$E$1001,$A$2:$A$1001,A332,$B$2:$B$1001,B332))</f>
        <v/>
      </c>
    </row>
    <row r="333">
      <c r="A333" s="7" t="n"/>
      <c r="B333" s="6" t="n"/>
      <c r="C333" s="6" t="n"/>
      <c r="D333" s="6">
        <f>IF(C333="","",IFERROR(VLOOKUP(C333,Lists!$C:$D,2,FALSE),""))</f>
        <v/>
      </c>
      <c r="E333" s="6" t="n"/>
      <c r="F333" s="6" t="n"/>
      <c r="G333" s="7">
        <f>IF(A333="","",A333+(7-WEEKDAY(A333,2)))</f>
        <v/>
      </c>
      <c r="H333" s="6">
        <f>IF(OR(A333="",B333=""),"",SUMIFS($E$2:$E$1001,$A$2:$A$1001,A333,$B$2:$B$1001,B333))</f>
        <v/>
      </c>
    </row>
    <row r="334">
      <c r="A334" s="7" t="n"/>
      <c r="B334" s="6" t="n"/>
      <c r="C334" s="6" t="n"/>
      <c r="D334" s="6">
        <f>IF(C334="","",IFERROR(VLOOKUP(C334,Lists!$C:$D,2,FALSE),""))</f>
        <v/>
      </c>
      <c r="E334" s="6" t="n"/>
      <c r="F334" s="6" t="n"/>
      <c r="G334" s="7">
        <f>IF(A334="","",A334+(7-WEEKDAY(A334,2)))</f>
        <v/>
      </c>
      <c r="H334" s="6">
        <f>IF(OR(A334="",B334=""),"",SUMIFS($E$2:$E$1001,$A$2:$A$1001,A334,$B$2:$B$1001,B334))</f>
        <v/>
      </c>
    </row>
    <row r="335">
      <c r="A335" s="7" t="n"/>
      <c r="B335" s="6" t="n"/>
      <c r="C335" s="6" t="n"/>
      <c r="D335" s="6">
        <f>IF(C335="","",IFERROR(VLOOKUP(C335,Lists!$C:$D,2,FALSE),""))</f>
        <v/>
      </c>
      <c r="E335" s="6" t="n"/>
      <c r="F335" s="6" t="n"/>
      <c r="G335" s="7">
        <f>IF(A335="","",A335+(7-WEEKDAY(A335,2)))</f>
        <v/>
      </c>
      <c r="H335" s="6">
        <f>IF(OR(A335="",B335=""),"",SUMIFS($E$2:$E$1001,$A$2:$A$1001,A335,$B$2:$B$1001,B335))</f>
        <v/>
      </c>
    </row>
    <row r="336">
      <c r="A336" s="7" t="n"/>
      <c r="B336" s="6" t="n"/>
      <c r="C336" s="6" t="n"/>
      <c r="D336" s="6">
        <f>IF(C336="","",IFERROR(VLOOKUP(C336,Lists!$C:$D,2,FALSE),""))</f>
        <v/>
      </c>
      <c r="E336" s="6" t="n"/>
      <c r="F336" s="6" t="n"/>
      <c r="G336" s="7">
        <f>IF(A336="","",A336+(7-WEEKDAY(A336,2)))</f>
        <v/>
      </c>
      <c r="H336" s="6">
        <f>IF(OR(A336="",B336=""),"",SUMIFS($E$2:$E$1001,$A$2:$A$1001,A336,$B$2:$B$1001,B336))</f>
        <v/>
      </c>
    </row>
    <row r="337">
      <c r="A337" s="7" t="n"/>
      <c r="B337" s="6" t="n"/>
      <c r="C337" s="6" t="n"/>
      <c r="D337" s="6">
        <f>IF(C337="","",IFERROR(VLOOKUP(C337,Lists!$C:$D,2,FALSE),""))</f>
        <v/>
      </c>
      <c r="E337" s="6" t="n"/>
      <c r="F337" s="6" t="n"/>
      <c r="G337" s="7">
        <f>IF(A337="","",A337+(7-WEEKDAY(A337,2)))</f>
        <v/>
      </c>
      <c r="H337" s="6">
        <f>IF(OR(A337="",B337=""),"",SUMIFS($E$2:$E$1001,$A$2:$A$1001,A337,$B$2:$B$1001,B337))</f>
        <v/>
      </c>
    </row>
    <row r="338">
      <c r="A338" s="7" t="n"/>
      <c r="B338" s="6" t="n"/>
      <c r="C338" s="6" t="n"/>
      <c r="D338" s="6">
        <f>IF(C338="","",IFERROR(VLOOKUP(C338,Lists!$C:$D,2,FALSE),""))</f>
        <v/>
      </c>
      <c r="E338" s="6" t="n"/>
      <c r="F338" s="6" t="n"/>
      <c r="G338" s="7">
        <f>IF(A338="","",A338+(7-WEEKDAY(A338,2)))</f>
        <v/>
      </c>
      <c r="H338" s="6">
        <f>IF(OR(A338="",B338=""),"",SUMIFS($E$2:$E$1001,$A$2:$A$1001,A338,$B$2:$B$1001,B338))</f>
        <v/>
      </c>
    </row>
    <row r="339">
      <c r="A339" s="7" t="n"/>
      <c r="B339" s="6" t="n"/>
      <c r="C339" s="6" t="n"/>
      <c r="D339" s="6">
        <f>IF(C339="","",IFERROR(VLOOKUP(C339,Lists!$C:$D,2,FALSE),""))</f>
        <v/>
      </c>
      <c r="E339" s="6" t="n"/>
      <c r="F339" s="6" t="n"/>
      <c r="G339" s="7">
        <f>IF(A339="","",A339+(7-WEEKDAY(A339,2)))</f>
        <v/>
      </c>
      <c r="H339" s="6">
        <f>IF(OR(A339="",B339=""),"",SUMIFS($E$2:$E$1001,$A$2:$A$1001,A339,$B$2:$B$1001,B339))</f>
        <v/>
      </c>
    </row>
    <row r="340">
      <c r="A340" s="7" t="n"/>
      <c r="B340" s="6" t="n"/>
      <c r="C340" s="6" t="n"/>
      <c r="D340" s="6">
        <f>IF(C340="","",IFERROR(VLOOKUP(C340,Lists!$C:$D,2,FALSE),""))</f>
        <v/>
      </c>
      <c r="E340" s="6" t="n"/>
      <c r="F340" s="6" t="n"/>
      <c r="G340" s="7">
        <f>IF(A340="","",A340+(7-WEEKDAY(A340,2)))</f>
        <v/>
      </c>
      <c r="H340" s="6">
        <f>IF(OR(A340="",B340=""),"",SUMIFS($E$2:$E$1001,$A$2:$A$1001,A340,$B$2:$B$1001,B340))</f>
        <v/>
      </c>
    </row>
    <row r="341">
      <c r="A341" s="7" t="n"/>
      <c r="B341" s="6" t="n"/>
      <c r="C341" s="6" t="n"/>
      <c r="D341" s="6">
        <f>IF(C341="","",IFERROR(VLOOKUP(C341,Lists!$C:$D,2,FALSE),""))</f>
        <v/>
      </c>
      <c r="E341" s="6" t="n"/>
      <c r="F341" s="6" t="n"/>
      <c r="G341" s="7">
        <f>IF(A341="","",A341+(7-WEEKDAY(A341,2)))</f>
        <v/>
      </c>
      <c r="H341" s="6">
        <f>IF(OR(A341="",B341=""),"",SUMIFS($E$2:$E$1001,$A$2:$A$1001,A341,$B$2:$B$1001,B341))</f>
        <v/>
      </c>
    </row>
    <row r="342">
      <c r="A342" s="7" t="n"/>
      <c r="B342" s="6" t="n"/>
      <c r="C342" s="6" t="n"/>
      <c r="D342" s="6">
        <f>IF(C342="","",IFERROR(VLOOKUP(C342,Lists!$C:$D,2,FALSE),""))</f>
        <v/>
      </c>
      <c r="E342" s="6" t="n"/>
      <c r="F342" s="6" t="n"/>
      <c r="G342" s="7">
        <f>IF(A342="","",A342+(7-WEEKDAY(A342,2)))</f>
        <v/>
      </c>
      <c r="H342" s="6">
        <f>IF(OR(A342="",B342=""),"",SUMIFS($E$2:$E$1001,$A$2:$A$1001,A342,$B$2:$B$1001,B342))</f>
        <v/>
      </c>
    </row>
    <row r="343">
      <c r="A343" s="7" t="n"/>
      <c r="B343" s="6" t="n"/>
      <c r="C343" s="6" t="n"/>
      <c r="D343" s="6">
        <f>IF(C343="","",IFERROR(VLOOKUP(C343,Lists!$C:$D,2,FALSE),""))</f>
        <v/>
      </c>
      <c r="E343" s="6" t="n"/>
      <c r="F343" s="6" t="n"/>
      <c r="G343" s="7">
        <f>IF(A343="","",A343+(7-WEEKDAY(A343,2)))</f>
        <v/>
      </c>
      <c r="H343" s="6">
        <f>IF(OR(A343="",B343=""),"",SUMIFS($E$2:$E$1001,$A$2:$A$1001,A343,$B$2:$B$1001,B343))</f>
        <v/>
      </c>
    </row>
    <row r="344">
      <c r="A344" s="7" t="n"/>
      <c r="B344" s="6" t="n"/>
      <c r="C344" s="6" t="n"/>
      <c r="D344" s="6">
        <f>IF(C344="","",IFERROR(VLOOKUP(C344,Lists!$C:$D,2,FALSE),""))</f>
        <v/>
      </c>
      <c r="E344" s="6" t="n"/>
      <c r="F344" s="6" t="n"/>
      <c r="G344" s="7">
        <f>IF(A344="","",A344+(7-WEEKDAY(A344,2)))</f>
        <v/>
      </c>
      <c r="H344" s="6">
        <f>IF(OR(A344="",B344=""),"",SUMIFS($E$2:$E$1001,$A$2:$A$1001,A344,$B$2:$B$1001,B344))</f>
        <v/>
      </c>
    </row>
    <row r="345">
      <c r="A345" s="7" t="n"/>
      <c r="B345" s="6" t="n"/>
      <c r="C345" s="6" t="n"/>
      <c r="D345" s="6">
        <f>IF(C345="","",IFERROR(VLOOKUP(C345,Lists!$C:$D,2,FALSE),""))</f>
        <v/>
      </c>
      <c r="E345" s="6" t="n"/>
      <c r="F345" s="6" t="n"/>
      <c r="G345" s="7">
        <f>IF(A345="","",A345+(7-WEEKDAY(A345,2)))</f>
        <v/>
      </c>
      <c r="H345" s="6">
        <f>IF(OR(A345="",B345=""),"",SUMIFS($E$2:$E$1001,$A$2:$A$1001,A345,$B$2:$B$1001,B345))</f>
        <v/>
      </c>
    </row>
    <row r="346">
      <c r="A346" s="7" t="n"/>
      <c r="B346" s="6" t="n"/>
      <c r="C346" s="6" t="n"/>
      <c r="D346" s="6">
        <f>IF(C346="","",IFERROR(VLOOKUP(C346,Lists!$C:$D,2,FALSE),""))</f>
        <v/>
      </c>
      <c r="E346" s="6" t="n"/>
      <c r="F346" s="6" t="n"/>
      <c r="G346" s="7">
        <f>IF(A346="","",A346+(7-WEEKDAY(A346,2)))</f>
        <v/>
      </c>
      <c r="H346" s="6">
        <f>IF(OR(A346="",B346=""),"",SUMIFS($E$2:$E$1001,$A$2:$A$1001,A346,$B$2:$B$1001,B346))</f>
        <v/>
      </c>
    </row>
    <row r="347">
      <c r="A347" s="7" t="n"/>
      <c r="B347" s="6" t="n"/>
      <c r="C347" s="6" t="n"/>
      <c r="D347" s="6">
        <f>IF(C347="","",IFERROR(VLOOKUP(C347,Lists!$C:$D,2,FALSE),""))</f>
        <v/>
      </c>
      <c r="E347" s="6" t="n"/>
      <c r="F347" s="6" t="n"/>
      <c r="G347" s="7">
        <f>IF(A347="","",A347+(7-WEEKDAY(A347,2)))</f>
        <v/>
      </c>
      <c r="H347" s="6">
        <f>IF(OR(A347="",B347=""),"",SUMIFS($E$2:$E$1001,$A$2:$A$1001,A347,$B$2:$B$1001,B347))</f>
        <v/>
      </c>
    </row>
    <row r="348">
      <c r="A348" s="7" t="n"/>
      <c r="B348" s="6" t="n"/>
      <c r="C348" s="6" t="n"/>
      <c r="D348" s="6">
        <f>IF(C348="","",IFERROR(VLOOKUP(C348,Lists!$C:$D,2,FALSE),""))</f>
        <v/>
      </c>
      <c r="E348" s="6" t="n"/>
      <c r="F348" s="6" t="n"/>
      <c r="G348" s="7">
        <f>IF(A348="","",A348+(7-WEEKDAY(A348,2)))</f>
        <v/>
      </c>
      <c r="H348" s="6">
        <f>IF(OR(A348="",B348=""),"",SUMIFS($E$2:$E$1001,$A$2:$A$1001,A348,$B$2:$B$1001,B348))</f>
        <v/>
      </c>
    </row>
    <row r="349">
      <c r="A349" s="7" t="n"/>
      <c r="B349" s="6" t="n"/>
      <c r="C349" s="6" t="n"/>
      <c r="D349" s="6">
        <f>IF(C349="","",IFERROR(VLOOKUP(C349,Lists!$C:$D,2,FALSE),""))</f>
        <v/>
      </c>
      <c r="E349" s="6" t="n"/>
      <c r="F349" s="6" t="n"/>
      <c r="G349" s="7">
        <f>IF(A349="","",A349+(7-WEEKDAY(A349,2)))</f>
        <v/>
      </c>
      <c r="H349" s="6">
        <f>IF(OR(A349="",B349=""),"",SUMIFS($E$2:$E$1001,$A$2:$A$1001,A349,$B$2:$B$1001,B349))</f>
        <v/>
      </c>
    </row>
    <row r="350">
      <c r="A350" s="7" t="n"/>
      <c r="B350" s="6" t="n"/>
      <c r="C350" s="6" t="n"/>
      <c r="D350" s="6">
        <f>IF(C350="","",IFERROR(VLOOKUP(C350,Lists!$C:$D,2,FALSE),""))</f>
        <v/>
      </c>
      <c r="E350" s="6" t="n"/>
      <c r="F350" s="6" t="n"/>
      <c r="G350" s="7">
        <f>IF(A350="","",A350+(7-WEEKDAY(A350,2)))</f>
        <v/>
      </c>
      <c r="H350" s="6">
        <f>IF(OR(A350="",B350=""),"",SUMIFS($E$2:$E$1001,$A$2:$A$1001,A350,$B$2:$B$1001,B350))</f>
        <v/>
      </c>
    </row>
    <row r="351">
      <c r="A351" s="7" t="n"/>
      <c r="B351" s="6" t="n"/>
      <c r="C351" s="6" t="n"/>
      <c r="D351" s="6">
        <f>IF(C351="","",IFERROR(VLOOKUP(C351,Lists!$C:$D,2,FALSE),""))</f>
        <v/>
      </c>
      <c r="E351" s="6" t="n"/>
      <c r="F351" s="6" t="n"/>
      <c r="G351" s="7">
        <f>IF(A351="","",A351+(7-WEEKDAY(A351,2)))</f>
        <v/>
      </c>
      <c r="H351" s="6">
        <f>IF(OR(A351="",B351=""),"",SUMIFS($E$2:$E$1001,$A$2:$A$1001,A351,$B$2:$B$1001,B351))</f>
        <v/>
      </c>
    </row>
    <row r="352">
      <c r="A352" s="7" t="n"/>
      <c r="B352" s="6" t="n"/>
      <c r="C352" s="6" t="n"/>
      <c r="D352" s="6">
        <f>IF(C352="","",IFERROR(VLOOKUP(C352,Lists!$C:$D,2,FALSE),""))</f>
        <v/>
      </c>
      <c r="E352" s="6" t="n"/>
      <c r="F352" s="6" t="n"/>
      <c r="G352" s="7">
        <f>IF(A352="","",A352+(7-WEEKDAY(A352,2)))</f>
        <v/>
      </c>
      <c r="H352" s="6">
        <f>IF(OR(A352="",B352=""),"",SUMIFS($E$2:$E$1001,$A$2:$A$1001,A352,$B$2:$B$1001,B352))</f>
        <v/>
      </c>
    </row>
    <row r="353">
      <c r="A353" s="7" t="n"/>
      <c r="B353" s="6" t="n"/>
      <c r="C353" s="6" t="n"/>
      <c r="D353" s="6">
        <f>IF(C353="","",IFERROR(VLOOKUP(C353,Lists!$C:$D,2,FALSE),""))</f>
        <v/>
      </c>
      <c r="E353" s="6" t="n"/>
      <c r="F353" s="6" t="n"/>
      <c r="G353" s="7">
        <f>IF(A353="","",A353+(7-WEEKDAY(A353,2)))</f>
        <v/>
      </c>
      <c r="H353" s="6">
        <f>IF(OR(A353="",B353=""),"",SUMIFS($E$2:$E$1001,$A$2:$A$1001,A353,$B$2:$B$1001,B353))</f>
        <v/>
      </c>
    </row>
    <row r="354">
      <c r="A354" s="7" t="n"/>
      <c r="B354" s="6" t="n"/>
      <c r="C354" s="6" t="n"/>
      <c r="D354" s="6">
        <f>IF(C354="","",IFERROR(VLOOKUP(C354,Lists!$C:$D,2,FALSE),""))</f>
        <v/>
      </c>
      <c r="E354" s="6" t="n"/>
      <c r="F354" s="6" t="n"/>
      <c r="G354" s="7">
        <f>IF(A354="","",A354+(7-WEEKDAY(A354,2)))</f>
        <v/>
      </c>
      <c r="H354" s="6">
        <f>IF(OR(A354="",B354=""),"",SUMIFS($E$2:$E$1001,$A$2:$A$1001,A354,$B$2:$B$1001,B354))</f>
        <v/>
      </c>
    </row>
    <row r="355">
      <c r="A355" s="7" t="n"/>
      <c r="B355" s="6" t="n"/>
      <c r="C355" s="6" t="n"/>
      <c r="D355" s="6">
        <f>IF(C355="","",IFERROR(VLOOKUP(C355,Lists!$C:$D,2,FALSE),""))</f>
        <v/>
      </c>
      <c r="E355" s="6" t="n"/>
      <c r="F355" s="6" t="n"/>
      <c r="G355" s="7">
        <f>IF(A355="","",A355+(7-WEEKDAY(A355,2)))</f>
        <v/>
      </c>
      <c r="H355" s="6">
        <f>IF(OR(A355="",B355=""),"",SUMIFS($E$2:$E$1001,$A$2:$A$1001,A355,$B$2:$B$1001,B355))</f>
        <v/>
      </c>
    </row>
    <row r="356">
      <c r="A356" s="7" t="n"/>
      <c r="B356" s="6" t="n"/>
      <c r="C356" s="6" t="n"/>
      <c r="D356" s="6">
        <f>IF(C356="","",IFERROR(VLOOKUP(C356,Lists!$C:$D,2,FALSE),""))</f>
        <v/>
      </c>
      <c r="E356" s="6" t="n"/>
      <c r="F356" s="6" t="n"/>
      <c r="G356" s="7">
        <f>IF(A356="","",A356+(7-WEEKDAY(A356,2)))</f>
        <v/>
      </c>
      <c r="H356" s="6">
        <f>IF(OR(A356="",B356=""),"",SUMIFS($E$2:$E$1001,$A$2:$A$1001,A356,$B$2:$B$1001,B356))</f>
        <v/>
      </c>
    </row>
    <row r="357">
      <c r="A357" s="7" t="n"/>
      <c r="B357" s="6" t="n"/>
      <c r="C357" s="6" t="n"/>
      <c r="D357" s="6">
        <f>IF(C357="","",IFERROR(VLOOKUP(C357,Lists!$C:$D,2,FALSE),""))</f>
        <v/>
      </c>
      <c r="E357" s="6" t="n"/>
      <c r="F357" s="6" t="n"/>
      <c r="G357" s="7">
        <f>IF(A357="","",A357+(7-WEEKDAY(A357,2)))</f>
        <v/>
      </c>
      <c r="H357" s="6">
        <f>IF(OR(A357="",B357=""),"",SUMIFS($E$2:$E$1001,$A$2:$A$1001,A357,$B$2:$B$1001,B357))</f>
        <v/>
      </c>
    </row>
    <row r="358">
      <c r="A358" s="7" t="n"/>
      <c r="B358" s="6" t="n"/>
      <c r="C358" s="6" t="n"/>
      <c r="D358" s="6">
        <f>IF(C358="","",IFERROR(VLOOKUP(C358,Lists!$C:$D,2,FALSE),""))</f>
        <v/>
      </c>
      <c r="E358" s="6" t="n"/>
      <c r="F358" s="6" t="n"/>
      <c r="G358" s="7">
        <f>IF(A358="","",A358+(7-WEEKDAY(A358,2)))</f>
        <v/>
      </c>
      <c r="H358" s="6">
        <f>IF(OR(A358="",B358=""),"",SUMIFS($E$2:$E$1001,$A$2:$A$1001,A358,$B$2:$B$1001,B358))</f>
        <v/>
      </c>
    </row>
    <row r="359">
      <c r="A359" s="7" t="n"/>
      <c r="B359" s="6" t="n"/>
      <c r="C359" s="6" t="n"/>
      <c r="D359" s="6">
        <f>IF(C359="","",IFERROR(VLOOKUP(C359,Lists!$C:$D,2,FALSE),""))</f>
        <v/>
      </c>
      <c r="E359" s="6" t="n"/>
      <c r="F359" s="6" t="n"/>
      <c r="G359" s="7">
        <f>IF(A359="","",A359+(7-WEEKDAY(A359,2)))</f>
        <v/>
      </c>
      <c r="H359" s="6">
        <f>IF(OR(A359="",B359=""),"",SUMIFS($E$2:$E$1001,$A$2:$A$1001,A359,$B$2:$B$1001,B359))</f>
        <v/>
      </c>
    </row>
    <row r="360">
      <c r="A360" s="7" t="n"/>
      <c r="B360" s="6" t="n"/>
      <c r="C360" s="6" t="n"/>
      <c r="D360" s="6">
        <f>IF(C360="","",IFERROR(VLOOKUP(C360,Lists!$C:$D,2,FALSE),""))</f>
        <v/>
      </c>
      <c r="E360" s="6" t="n"/>
      <c r="F360" s="6" t="n"/>
      <c r="G360" s="7">
        <f>IF(A360="","",A360+(7-WEEKDAY(A360,2)))</f>
        <v/>
      </c>
      <c r="H360" s="6">
        <f>IF(OR(A360="",B360=""),"",SUMIFS($E$2:$E$1001,$A$2:$A$1001,A360,$B$2:$B$1001,B360))</f>
        <v/>
      </c>
    </row>
    <row r="361">
      <c r="A361" s="7" t="n"/>
      <c r="B361" s="6" t="n"/>
      <c r="C361" s="6" t="n"/>
      <c r="D361" s="6">
        <f>IF(C361="","",IFERROR(VLOOKUP(C361,Lists!$C:$D,2,FALSE),""))</f>
        <v/>
      </c>
      <c r="E361" s="6" t="n"/>
      <c r="F361" s="6" t="n"/>
      <c r="G361" s="7">
        <f>IF(A361="","",A361+(7-WEEKDAY(A361,2)))</f>
        <v/>
      </c>
      <c r="H361" s="6">
        <f>IF(OR(A361="",B361=""),"",SUMIFS($E$2:$E$1001,$A$2:$A$1001,A361,$B$2:$B$1001,B361))</f>
        <v/>
      </c>
    </row>
    <row r="362">
      <c r="A362" s="7" t="n"/>
      <c r="B362" s="6" t="n"/>
      <c r="C362" s="6" t="n"/>
      <c r="D362" s="6">
        <f>IF(C362="","",IFERROR(VLOOKUP(C362,Lists!$C:$D,2,FALSE),""))</f>
        <v/>
      </c>
      <c r="E362" s="6" t="n"/>
      <c r="F362" s="6" t="n"/>
      <c r="G362" s="7">
        <f>IF(A362="","",A362+(7-WEEKDAY(A362,2)))</f>
        <v/>
      </c>
      <c r="H362" s="6">
        <f>IF(OR(A362="",B362=""),"",SUMIFS($E$2:$E$1001,$A$2:$A$1001,A362,$B$2:$B$1001,B362))</f>
        <v/>
      </c>
    </row>
    <row r="363">
      <c r="A363" s="7" t="n"/>
      <c r="B363" s="6" t="n"/>
      <c r="C363" s="6" t="n"/>
      <c r="D363" s="6">
        <f>IF(C363="","",IFERROR(VLOOKUP(C363,Lists!$C:$D,2,FALSE),""))</f>
        <v/>
      </c>
      <c r="E363" s="6" t="n"/>
      <c r="F363" s="6" t="n"/>
      <c r="G363" s="7">
        <f>IF(A363="","",A363+(7-WEEKDAY(A363,2)))</f>
        <v/>
      </c>
      <c r="H363" s="6">
        <f>IF(OR(A363="",B363=""),"",SUMIFS($E$2:$E$1001,$A$2:$A$1001,A363,$B$2:$B$1001,B363))</f>
        <v/>
      </c>
    </row>
    <row r="364">
      <c r="A364" s="7" t="n"/>
      <c r="B364" s="6" t="n"/>
      <c r="C364" s="6" t="n"/>
      <c r="D364" s="6">
        <f>IF(C364="","",IFERROR(VLOOKUP(C364,Lists!$C:$D,2,FALSE),""))</f>
        <v/>
      </c>
      <c r="E364" s="6" t="n"/>
      <c r="F364" s="6" t="n"/>
      <c r="G364" s="7">
        <f>IF(A364="","",A364+(7-WEEKDAY(A364,2)))</f>
        <v/>
      </c>
      <c r="H364" s="6">
        <f>IF(OR(A364="",B364=""),"",SUMIFS($E$2:$E$1001,$A$2:$A$1001,A364,$B$2:$B$1001,B364))</f>
        <v/>
      </c>
    </row>
    <row r="365">
      <c r="A365" s="7" t="n"/>
      <c r="B365" s="6" t="n"/>
      <c r="C365" s="6" t="n"/>
      <c r="D365" s="6">
        <f>IF(C365="","",IFERROR(VLOOKUP(C365,Lists!$C:$D,2,FALSE),""))</f>
        <v/>
      </c>
      <c r="E365" s="6" t="n"/>
      <c r="F365" s="6" t="n"/>
      <c r="G365" s="7">
        <f>IF(A365="","",A365+(7-WEEKDAY(A365,2)))</f>
        <v/>
      </c>
      <c r="H365" s="6">
        <f>IF(OR(A365="",B365=""),"",SUMIFS($E$2:$E$1001,$A$2:$A$1001,A365,$B$2:$B$1001,B365))</f>
        <v/>
      </c>
    </row>
    <row r="366">
      <c r="A366" s="7" t="n"/>
      <c r="B366" s="6" t="n"/>
      <c r="C366" s="6" t="n"/>
      <c r="D366" s="6">
        <f>IF(C366="","",IFERROR(VLOOKUP(C366,Lists!$C:$D,2,FALSE),""))</f>
        <v/>
      </c>
      <c r="E366" s="6" t="n"/>
      <c r="F366" s="6" t="n"/>
      <c r="G366" s="7">
        <f>IF(A366="","",A366+(7-WEEKDAY(A366,2)))</f>
        <v/>
      </c>
      <c r="H366" s="6">
        <f>IF(OR(A366="",B366=""),"",SUMIFS($E$2:$E$1001,$A$2:$A$1001,A366,$B$2:$B$1001,B366))</f>
        <v/>
      </c>
    </row>
    <row r="367">
      <c r="A367" s="7" t="n"/>
      <c r="B367" s="6" t="n"/>
      <c r="C367" s="6" t="n"/>
      <c r="D367" s="6">
        <f>IF(C367="","",IFERROR(VLOOKUP(C367,Lists!$C:$D,2,FALSE),""))</f>
        <v/>
      </c>
      <c r="E367" s="6" t="n"/>
      <c r="F367" s="6" t="n"/>
      <c r="G367" s="7">
        <f>IF(A367="","",A367+(7-WEEKDAY(A367,2)))</f>
        <v/>
      </c>
      <c r="H367" s="6">
        <f>IF(OR(A367="",B367=""),"",SUMIFS($E$2:$E$1001,$A$2:$A$1001,A367,$B$2:$B$1001,B367))</f>
        <v/>
      </c>
    </row>
    <row r="368">
      <c r="A368" s="7" t="n"/>
      <c r="B368" s="6" t="n"/>
      <c r="C368" s="6" t="n"/>
      <c r="D368" s="6">
        <f>IF(C368="","",IFERROR(VLOOKUP(C368,Lists!$C:$D,2,FALSE),""))</f>
        <v/>
      </c>
      <c r="E368" s="6" t="n"/>
      <c r="F368" s="6" t="n"/>
      <c r="G368" s="7">
        <f>IF(A368="","",A368+(7-WEEKDAY(A368,2)))</f>
        <v/>
      </c>
      <c r="H368" s="6">
        <f>IF(OR(A368="",B368=""),"",SUMIFS($E$2:$E$1001,$A$2:$A$1001,A368,$B$2:$B$1001,B368))</f>
        <v/>
      </c>
    </row>
    <row r="369">
      <c r="A369" s="7" t="n"/>
      <c r="B369" s="6" t="n"/>
      <c r="C369" s="6" t="n"/>
      <c r="D369" s="6">
        <f>IF(C369="","",IFERROR(VLOOKUP(C369,Lists!$C:$D,2,FALSE),""))</f>
        <v/>
      </c>
      <c r="E369" s="6" t="n"/>
      <c r="F369" s="6" t="n"/>
      <c r="G369" s="7">
        <f>IF(A369="","",A369+(7-WEEKDAY(A369,2)))</f>
        <v/>
      </c>
      <c r="H369" s="6">
        <f>IF(OR(A369="",B369=""),"",SUMIFS($E$2:$E$1001,$A$2:$A$1001,A369,$B$2:$B$1001,B369))</f>
        <v/>
      </c>
    </row>
    <row r="370">
      <c r="A370" s="7" t="n"/>
      <c r="B370" s="6" t="n"/>
      <c r="C370" s="6" t="n"/>
      <c r="D370" s="6">
        <f>IF(C370="","",IFERROR(VLOOKUP(C370,Lists!$C:$D,2,FALSE),""))</f>
        <v/>
      </c>
      <c r="E370" s="6" t="n"/>
      <c r="F370" s="6" t="n"/>
      <c r="G370" s="7">
        <f>IF(A370="","",A370+(7-WEEKDAY(A370,2)))</f>
        <v/>
      </c>
      <c r="H370" s="6">
        <f>IF(OR(A370="",B370=""),"",SUMIFS($E$2:$E$1001,$A$2:$A$1001,A370,$B$2:$B$1001,B370))</f>
        <v/>
      </c>
    </row>
    <row r="371">
      <c r="A371" s="7" t="n"/>
      <c r="B371" s="6" t="n"/>
      <c r="C371" s="6" t="n"/>
      <c r="D371" s="6">
        <f>IF(C371="","",IFERROR(VLOOKUP(C371,Lists!$C:$D,2,FALSE),""))</f>
        <v/>
      </c>
      <c r="E371" s="6" t="n"/>
      <c r="F371" s="6" t="n"/>
      <c r="G371" s="7">
        <f>IF(A371="","",A371+(7-WEEKDAY(A371,2)))</f>
        <v/>
      </c>
      <c r="H371" s="6">
        <f>IF(OR(A371="",B371=""),"",SUMIFS($E$2:$E$1001,$A$2:$A$1001,A371,$B$2:$B$1001,B371))</f>
        <v/>
      </c>
    </row>
    <row r="372">
      <c r="A372" s="7" t="n"/>
      <c r="B372" s="6" t="n"/>
      <c r="C372" s="6" t="n"/>
      <c r="D372" s="6">
        <f>IF(C372="","",IFERROR(VLOOKUP(C372,Lists!$C:$D,2,FALSE),""))</f>
        <v/>
      </c>
      <c r="E372" s="6" t="n"/>
      <c r="F372" s="6" t="n"/>
      <c r="G372" s="7">
        <f>IF(A372="","",A372+(7-WEEKDAY(A372,2)))</f>
        <v/>
      </c>
      <c r="H372" s="6">
        <f>IF(OR(A372="",B372=""),"",SUMIFS($E$2:$E$1001,$A$2:$A$1001,A372,$B$2:$B$1001,B372))</f>
        <v/>
      </c>
    </row>
    <row r="373">
      <c r="A373" s="7" t="n"/>
      <c r="B373" s="6" t="n"/>
      <c r="C373" s="6" t="n"/>
      <c r="D373" s="6">
        <f>IF(C373="","",IFERROR(VLOOKUP(C373,Lists!$C:$D,2,FALSE),""))</f>
        <v/>
      </c>
      <c r="E373" s="6" t="n"/>
      <c r="F373" s="6" t="n"/>
      <c r="G373" s="7">
        <f>IF(A373="","",A373+(7-WEEKDAY(A373,2)))</f>
        <v/>
      </c>
      <c r="H373" s="6">
        <f>IF(OR(A373="",B373=""),"",SUMIFS($E$2:$E$1001,$A$2:$A$1001,A373,$B$2:$B$1001,B373))</f>
        <v/>
      </c>
    </row>
    <row r="374">
      <c r="A374" s="7" t="n"/>
      <c r="B374" s="6" t="n"/>
      <c r="C374" s="6" t="n"/>
      <c r="D374" s="6">
        <f>IF(C374="","",IFERROR(VLOOKUP(C374,Lists!$C:$D,2,FALSE),""))</f>
        <v/>
      </c>
      <c r="E374" s="6" t="n"/>
      <c r="F374" s="6" t="n"/>
      <c r="G374" s="7">
        <f>IF(A374="","",A374+(7-WEEKDAY(A374,2)))</f>
        <v/>
      </c>
      <c r="H374" s="6">
        <f>IF(OR(A374="",B374=""),"",SUMIFS($E$2:$E$1001,$A$2:$A$1001,A374,$B$2:$B$1001,B374))</f>
        <v/>
      </c>
    </row>
    <row r="375">
      <c r="A375" s="7" t="n"/>
      <c r="B375" s="6" t="n"/>
      <c r="C375" s="6" t="n"/>
      <c r="D375" s="6">
        <f>IF(C375="","",IFERROR(VLOOKUP(C375,Lists!$C:$D,2,FALSE),""))</f>
        <v/>
      </c>
      <c r="E375" s="6" t="n"/>
      <c r="F375" s="6" t="n"/>
      <c r="G375" s="7">
        <f>IF(A375="","",A375+(7-WEEKDAY(A375,2)))</f>
        <v/>
      </c>
      <c r="H375" s="6">
        <f>IF(OR(A375="",B375=""),"",SUMIFS($E$2:$E$1001,$A$2:$A$1001,A375,$B$2:$B$1001,B375))</f>
        <v/>
      </c>
    </row>
    <row r="376">
      <c r="A376" s="7" t="n"/>
      <c r="B376" s="6" t="n"/>
      <c r="C376" s="6" t="n"/>
      <c r="D376" s="6">
        <f>IF(C376="","",IFERROR(VLOOKUP(C376,Lists!$C:$D,2,FALSE),""))</f>
        <v/>
      </c>
      <c r="E376" s="6" t="n"/>
      <c r="F376" s="6" t="n"/>
      <c r="G376" s="7">
        <f>IF(A376="","",A376+(7-WEEKDAY(A376,2)))</f>
        <v/>
      </c>
      <c r="H376" s="6">
        <f>IF(OR(A376="",B376=""),"",SUMIFS($E$2:$E$1001,$A$2:$A$1001,A376,$B$2:$B$1001,B376))</f>
        <v/>
      </c>
    </row>
    <row r="377">
      <c r="A377" s="7" t="n"/>
      <c r="B377" s="6" t="n"/>
      <c r="C377" s="6" t="n"/>
      <c r="D377" s="6">
        <f>IF(C377="","",IFERROR(VLOOKUP(C377,Lists!$C:$D,2,FALSE),""))</f>
        <v/>
      </c>
      <c r="E377" s="6" t="n"/>
      <c r="F377" s="6" t="n"/>
      <c r="G377" s="7">
        <f>IF(A377="","",A377+(7-WEEKDAY(A377,2)))</f>
        <v/>
      </c>
      <c r="H377" s="6">
        <f>IF(OR(A377="",B377=""),"",SUMIFS($E$2:$E$1001,$A$2:$A$1001,A377,$B$2:$B$1001,B377))</f>
        <v/>
      </c>
    </row>
    <row r="378">
      <c r="A378" s="7" t="n"/>
      <c r="B378" s="6" t="n"/>
      <c r="C378" s="6" t="n"/>
      <c r="D378" s="6">
        <f>IF(C378="","",IFERROR(VLOOKUP(C378,Lists!$C:$D,2,FALSE),""))</f>
        <v/>
      </c>
      <c r="E378" s="6" t="n"/>
      <c r="F378" s="6" t="n"/>
      <c r="G378" s="7">
        <f>IF(A378="","",A378+(7-WEEKDAY(A378,2)))</f>
        <v/>
      </c>
      <c r="H378" s="6">
        <f>IF(OR(A378="",B378=""),"",SUMIFS($E$2:$E$1001,$A$2:$A$1001,A378,$B$2:$B$1001,B378))</f>
        <v/>
      </c>
    </row>
    <row r="379">
      <c r="A379" s="7" t="n"/>
      <c r="B379" s="6" t="n"/>
      <c r="C379" s="6" t="n"/>
      <c r="D379" s="6">
        <f>IF(C379="","",IFERROR(VLOOKUP(C379,Lists!$C:$D,2,FALSE),""))</f>
        <v/>
      </c>
      <c r="E379" s="6" t="n"/>
      <c r="F379" s="6" t="n"/>
      <c r="G379" s="7">
        <f>IF(A379="","",A379+(7-WEEKDAY(A379,2)))</f>
        <v/>
      </c>
      <c r="H379" s="6">
        <f>IF(OR(A379="",B379=""),"",SUMIFS($E$2:$E$1001,$A$2:$A$1001,A379,$B$2:$B$1001,B379))</f>
        <v/>
      </c>
    </row>
    <row r="380">
      <c r="A380" s="7" t="n"/>
      <c r="B380" s="6" t="n"/>
      <c r="C380" s="6" t="n"/>
      <c r="D380" s="6">
        <f>IF(C380="","",IFERROR(VLOOKUP(C380,Lists!$C:$D,2,FALSE),""))</f>
        <v/>
      </c>
      <c r="E380" s="6" t="n"/>
      <c r="F380" s="6" t="n"/>
      <c r="G380" s="7">
        <f>IF(A380="","",A380+(7-WEEKDAY(A380,2)))</f>
        <v/>
      </c>
      <c r="H380" s="6">
        <f>IF(OR(A380="",B380=""),"",SUMIFS($E$2:$E$1001,$A$2:$A$1001,A380,$B$2:$B$1001,B380))</f>
        <v/>
      </c>
    </row>
    <row r="381">
      <c r="A381" s="7" t="n"/>
      <c r="B381" s="6" t="n"/>
      <c r="C381" s="6" t="n"/>
      <c r="D381" s="6">
        <f>IF(C381="","",IFERROR(VLOOKUP(C381,Lists!$C:$D,2,FALSE),""))</f>
        <v/>
      </c>
      <c r="E381" s="6" t="n"/>
      <c r="F381" s="6" t="n"/>
      <c r="G381" s="7">
        <f>IF(A381="","",A381+(7-WEEKDAY(A381,2)))</f>
        <v/>
      </c>
      <c r="H381" s="6">
        <f>IF(OR(A381="",B381=""),"",SUMIFS($E$2:$E$1001,$A$2:$A$1001,A381,$B$2:$B$1001,B381))</f>
        <v/>
      </c>
    </row>
    <row r="382">
      <c r="A382" s="7" t="n"/>
      <c r="B382" s="6" t="n"/>
      <c r="C382" s="6" t="n"/>
      <c r="D382" s="6">
        <f>IF(C382="","",IFERROR(VLOOKUP(C382,Lists!$C:$D,2,FALSE),""))</f>
        <v/>
      </c>
      <c r="E382" s="6" t="n"/>
      <c r="F382" s="6" t="n"/>
      <c r="G382" s="7">
        <f>IF(A382="","",A382+(7-WEEKDAY(A382,2)))</f>
        <v/>
      </c>
      <c r="H382" s="6">
        <f>IF(OR(A382="",B382=""),"",SUMIFS($E$2:$E$1001,$A$2:$A$1001,A382,$B$2:$B$1001,B382))</f>
        <v/>
      </c>
    </row>
    <row r="383">
      <c r="A383" s="7" t="n"/>
      <c r="B383" s="6" t="n"/>
      <c r="C383" s="6" t="n"/>
      <c r="D383" s="6">
        <f>IF(C383="","",IFERROR(VLOOKUP(C383,Lists!$C:$D,2,FALSE),""))</f>
        <v/>
      </c>
      <c r="E383" s="6" t="n"/>
      <c r="F383" s="6" t="n"/>
      <c r="G383" s="7">
        <f>IF(A383="","",A383+(7-WEEKDAY(A383,2)))</f>
        <v/>
      </c>
      <c r="H383" s="6">
        <f>IF(OR(A383="",B383=""),"",SUMIFS($E$2:$E$1001,$A$2:$A$1001,A383,$B$2:$B$1001,B383))</f>
        <v/>
      </c>
    </row>
    <row r="384">
      <c r="A384" s="7" t="n"/>
      <c r="B384" s="6" t="n"/>
      <c r="C384" s="6" t="n"/>
      <c r="D384" s="6">
        <f>IF(C384="","",IFERROR(VLOOKUP(C384,Lists!$C:$D,2,FALSE),""))</f>
        <v/>
      </c>
      <c r="E384" s="6" t="n"/>
      <c r="F384" s="6" t="n"/>
      <c r="G384" s="7">
        <f>IF(A384="","",A384+(7-WEEKDAY(A384,2)))</f>
        <v/>
      </c>
      <c r="H384" s="6">
        <f>IF(OR(A384="",B384=""),"",SUMIFS($E$2:$E$1001,$A$2:$A$1001,A384,$B$2:$B$1001,B384))</f>
        <v/>
      </c>
    </row>
    <row r="385">
      <c r="A385" s="7" t="n"/>
      <c r="B385" s="6" t="n"/>
      <c r="C385" s="6" t="n"/>
      <c r="D385" s="6">
        <f>IF(C385="","",IFERROR(VLOOKUP(C385,Lists!$C:$D,2,FALSE),""))</f>
        <v/>
      </c>
      <c r="E385" s="6" t="n"/>
      <c r="F385" s="6" t="n"/>
      <c r="G385" s="7">
        <f>IF(A385="","",A385+(7-WEEKDAY(A385,2)))</f>
        <v/>
      </c>
      <c r="H385" s="6">
        <f>IF(OR(A385="",B385=""),"",SUMIFS($E$2:$E$1001,$A$2:$A$1001,A385,$B$2:$B$1001,B385))</f>
        <v/>
      </c>
    </row>
    <row r="386">
      <c r="A386" s="7" t="n"/>
      <c r="B386" s="6" t="n"/>
      <c r="C386" s="6" t="n"/>
      <c r="D386" s="6">
        <f>IF(C386="","",IFERROR(VLOOKUP(C386,Lists!$C:$D,2,FALSE),""))</f>
        <v/>
      </c>
      <c r="E386" s="6" t="n"/>
      <c r="F386" s="6" t="n"/>
      <c r="G386" s="7">
        <f>IF(A386="","",A386+(7-WEEKDAY(A386,2)))</f>
        <v/>
      </c>
      <c r="H386" s="6">
        <f>IF(OR(A386="",B386=""),"",SUMIFS($E$2:$E$1001,$A$2:$A$1001,A386,$B$2:$B$1001,B386))</f>
        <v/>
      </c>
    </row>
    <row r="387">
      <c r="A387" s="7" t="n"/>
      <c r="B387" s="6" t="n"/>
      <c r="C387" s="6" t="n"/>
      <c r="D387" s="6">
        <f>IF(C387="","",IFERROR(VLOOKUP(C387,Lists!$C:$D,2,FALSE),""))</f>
        <v/>
      </c>
      <c r="E387" s="6" t="n"/>
      <c r="F387" s="6" t="n"/>
      <c r="G387" s="7">
        <f>IF(A387="","",A387+(7-WEEKDAY(A387,2)))</f>
        <v/>
      </c>
      <c r="H387" s="6">
        <f>IF(OR(A387="",B387=""),"",SUMIFS($E$2:$E$1001,$A$2:$A$1001,A387,$B$2:$B$1001,B387))</f>
        <v/>
      </c>
    </row>
    <row r="388">
      <c r="A388" s="7" t="n"/>
      <c r="B388" s="6" t="n"/>
      <c r="C388" s="6" t="n"/>
      <c r="D388" s="6">
        <f>IF(C388="","",IFERROR(VLOOKUP(C388,Lists!$C:$D,2,FALSE),""))</f>
        <v/>
      </c>
      <c r="E388" s="6" t="n"/>
      <c r="F388" s="6" t="n"/>
      <c r="G388" s="7">
        <f>IF(A388="","",A388+(7-WEEKDAY(A388,2)))</f>
        <v/>
      </c>
      <c r="H388" s="6">
        <f>IF(OR(A388="",B388=""),"",SUMIFS($E$2:$E$1001,$A$2:$A$1001,A388,$B$2:$B$1001,B388))</f>
        <v/>
      </c>
    </row>
    <row r="389">
      <c r="A389" s="7" t="n"/>
      <c r="B389" s="6" t="n"/>
      <c r="C389" s="6" t="n"/>
      <c r="D389" s="6">
        <f>IF(C389="","",IFERROR(VLOOKUP(C389,Lists!$C:$D,2,FALSE),""))</f>
        <v/>
      </c>
      <c r="E389" s="6" t="n"/>
      <c r="F389" s="6" t="n"/>
      <c r="G389" s="7">
        <f>IF(A389="","",A389+(7-WEEKDAY(A389,2)))</f>
        <v/>
      </c>
      <c r="H389" s="6">
        <f>IF(OR(A389="",B389=""),"",SUMIFS($E$2:$E$1001,$A$2:$A$1001,A389,$B$2:$B$1001,B389))</f>
        <v/>
      </c>
    </row>
    <row r="390">
      <c r="A390" s="7" t="n"/>
      <c r="B390" s="6" t="n"/>
      <c r="C390" s="6" t="n"/>
      <c r="D390" s="6">
        <f>IF(C390="","",IFERROR(VLOOKUP(C390,Lists!$C:$D,2,FALSE),""))</f>
        <v/>
      </c>
      <c r="E390" s="6" t="n"/>
      <c r="F390" s="6" t="n"/>
      <c r="G390" s="7">
        <f>IF(A390="","",A390+(7-WEEKDAY(A390,2)))</f>
        <v/>
      </c>
      <c r="H390" s="6">
        <f>IF(OR(A390="",B390=""),"",SUMIFS($E$2:$E$1001,$A$2:$A$1001,A390,$B$2:$B$1001,B390))</f>
        <v/>
      </c>
    </row>
    <row r="391">
      <c r="A391" s="7" t="n"/>
      <c r="B391" s="6" t="n"/>
      <c r="C391" s="6" t="n"/>
      <c r="D391" s="6">
        <f>IF(C391="","",IFERROR(VLOOKUP(C391,Lists!$C:$D,2,FALSE),""))</f>
        <v/>
      </c>
      <c r="E391" s="6" t="n"/>
      <c r="F391" s="6" t="n"/>
      <c r="G391" s="7">
        <f>IF(A391="","",A391+(7-WEEKDAY(A391,2)))</f>
        <v/>
      </c>
      <c r="H391" s="6">
        <f>IF(OR(A391="",B391=""),"",SUMIFS($E$2:$E$1001,$A$2:$A$1001,A391,$B$2:$B$1001,B391))</f>
        <v/>
      </c>
    </row>
    <row r="392">
      <c r="A392" s="7" t="n"/>
      <c r="B392" s="6" t="n"/>
      <c r="C392" s="6" t="n"/>
      <c r="D392" s="6">
        <f>IF(C392="","",IFERROR(VLOOKUP(C392,Lists!$C:$D,2,FALSE),""))</f>
        <v/>
      </c>
      <c r="E392" s="6" t="n"/>
      <c r="F392" s="6" t="n"/>
      <c r="G392" s="7">
        <f>IF(A392="","",A392+(7-WEEKDAY(A392,2)))</f>
        <v/>
      </c>
      <c r="H392" s="6">
        <f>IF(OR(A392="",B392=""),"",SUMIFS($E$2:$E$1001,$A$2:$A$1001,A392,$B$2:$B$1001,B392))</f>
        <v/>
      </c>
    </row>
    <row r="393">
      <c r="A393" s="7" t="n"/>
      <c r="B393" s="6" t="n"/>
      <c r="C393" s="6" t="n"/>
      <c r="D393" s="6">
        <f>IF(C393="","",IFERROR(VLOOKUP(C393,Lists!$C:$D,2,FALSE),""))</f>
        <v/>
      </c>
      <c r="E393" s="6" t="n"/>
      <c r="F393" s="6" t="n"/>
      <c r="G393" s="7">
        <f>IF(A393="","",A393+(7-WEEKDAY(A393,2)))</f>
        <v/>
      </c>
      <c r="H393" s="6">
        <f>IF(OR(A393="",B393=""),"",SUMIFS($E$2:$E$1001,$A$2:$A$1001,A393,$B$2:$B$1001,B393))</f>
        <v/>
      </c>
    </row>
    <row r="394">
      <c r="A394" s="7" t="n"/>
      <c r="B394" s="6" t="n"/>
      <c r="C394" s="6" t="n"/>
      <c r="D394" s="6">
        <f>IF(C394="","",IFERROR(VLOOKUP(C394,Lists!$C:$D,2,FALSE),""))</f>
        <v/>
      </c>
      <c r="E394" s="6" t="n"/>
      <c r="F394" s="6" t="n"/>
      <c r="G394" s="7">
        <f>IF(A394="","",A394+(7-WEEKDAY(A394,2)))</f>
        <v/>
      </c>
      <c r="H394" s="6">
        <f>IF(OR(A394="",B394=""),"",SUMIFS($E$2:$E$1001,$A$2:$A$1001,A394,$B$2:$B$1001,B394))</f>
        <v/>
      </c>
    </row>
    <row r="395">
      <c r="A395" s="7" t="n"/>
      <c r="B395" s="6" t="n"/>
      <c r="C395" s="6" t="n"/>
      <c r="D395" s="6">
        <f>IF(C395="","",IFERROR(VLOOKUP(C395,Lists!$C:$D,2,FALSE),""))</f>
        <v/>
      </c>
      <c r="E395" s="6" t="n"/>
      <c r="F395" s="6" t="n"/>
      <c r="G395" s="7">
        <f>IF(A395="","",A395+(7-WEEKDAY(A395,2)))</f>
        <v/>
      </c>
      <c r="H395" s="6">
        <f>IF(OR(A395="",B395=""),"",SUMIFS($E$2:$E$1001,$A$2:$A$1001,A395,$B$2:$B$1001,B395))</f>
        <v/>
      </c>
    </row>
    <row r="396">
      <c r="A396" s="7" t="n"/>
      <c r="B396" s="6" t="n"/>
      <c r="C396" s="6" t="n"/>
      <c r="D396" s="6">
        <f>IF(C396="","",IFERROR(VLOOKUP(C396,Lists!$C:$D,2,FALSE),""))</f>
        <v/>
      </c>
      <c r="E396" s="6" t="n"/>
      <c r="F396" s="6" t="n"/>
      <c r="G396" s="7">
        <f>IF(A396="","",A396+(7-WEEKDAY(A396,2)))</f>
        <v/>
      </c>
      <c r="H396" s="6">
        <f>IF(OR(A396="",B396=""),"",SUMIFS($E$2:$E$1001,$A$2:$A$1001,A396,$B$2:$B$1001,B396))</f>
        <v/>
      </c>
    </row>
    <row r="397">
      <c r="A397" s="7" t="n"/>
      <c r="B397" s="6" t="n"/>
      <c r="C397" s="6" t="n"/>
      <c r="D397" s="6">
        <f>IF(C397="","",IFERROR(VLOOKUP(C397,Lists!$C:$D,2,FALSE),""))</f>
        <v/>
      </c>
      <c r="E397" s="6" t="n"/>
      <c r="F397" s="6" t="n"/>
      <c r="G397" s="7">
        <f>IF(A397="","",A397+(7-WEEKDAY(A397,2)))</f>
        <v/>
      </c>
      <c r="H397" s="6">
        <f>IF(OR(A397="",B397=""),"",SUMIFS($E$2:$E$1001,$A$2:$A$1001,A397,$B$2:$B$1001,B397))</f>
        <v/>
      </c>
    </row>
    <row r="398">
      <c r="A398" s="7" t="n"/>
      <c r="B398" s="6" t="n"/>
      <c r="C398" s="6" t="n"/>
      <c r="D398" s="6">
        <f>IF(C398="","",IFERROR(VLOOKUP(C398,Lists!$C:$D,2,FALSE),""))</f>
        <v/>
      </c>
      <c r="E398" s="6" t="n"/>
      <c r="F398" s="6" t="n"/>
      <c r="G398" s="7">
        <f>IF(A398="","",A398+(7-WEEKDAY(A398,2)))</f>
        <v/>
      </c>
      <c r="H398" s="6">
        <f>IF(OR(A398="",B398=""),"",SUMIFS($E$2:$E$1001,$A$2:$A$1001,A398,$B$2:$B$1001,B398))</f>
        <v/>
      </c>
    </row>
    <row r="399">
      <c r="A399" s="7" t="n"/>
      <c r="B399" s="6" t="n"/>
      <c r="C399" s="6" t="n"/>
      <c r="D399" s="6">
        <f>IF(C399="","",IFERROR(VLOOKUP(C399,Lists!$C:$D,2,FALSE),""))</f>
        <v/>
      </c>
      <c r="E399" s="6" t="n"/>
      <c r="F399" s="6" t="n"/>
      <c r="G399" s="7">
        <f>IF(A399="","",A399+(7-WEEKDAY(A399,2)))</f>
        <v/>
      </c>
      <c r="H399" s="6">
        <f>IF(OR(A399="",B399=""),"",SUMIFS($E$2:$E$1001,$A$2:$A$1001,A399,$B$2:$B$1001,B399))</f>
        <v/>
      </c>
    </row>
    <row r="400">
      <c r="A400" s="7" t="n"/>
      <c r="B400" s="6" t="n"/>
      <c r="C400" s="6" t="n"/>
      <c r="D400" s="6">
        <f>IF(C400="","",IFERROR(VLOOKUP(C400,Lists!$C:$D,2,FALSE),""))</f>
        <v/>
      </c>
      <c r="E400" s="6" t="n"/>
      <c r="F400" s="6" t="n"/>
      <c r="G400" s="7">
        <f>IF(A400="","",A400+(7-WEEKDAY(A400,2)))</f>
        <v/>
      </c>
      <c r="H400" s="6">
        <f>IF(OR(A400="",B400=""),"",SUMIFS($E$2:$E$1001,$A$2:$A$1001,A400,$B$2:$B$1001,B400))</f>
        <v/>
      </c>
    </row>
    <row r="401">
      <c r="A401" s="7" t="n"/>
      <c r="B401" s="6" t="n"/>
      <c r="C401" s="6" t="n"/>
      <c r="D401" s="6">
        <f>IF(C401="","",IFERROR(VLOOKUP(C401,Lists!$C:$D,2,FALSE),""))</f>
        <v/>
      </c>
      <c r="E401" s="6" t="n"/>
      <c r="F401" s="6" t="n"/>
      <c r="G401" s="7">
        <f>IF(A401="","",A401+(7-WEEKDAY(A401,2)))</f>
        <v/>
      </c>
      <c r="H401" s="6">
        <f>IF(OR(A401="",B401=""),"",SUMIFS($E$2:$E$1001,$A$2:$A$1001,A401,$B$2:$B$1001,B401))</f>
        <v/>
      </c>
    </row>
    <row r="402">
      <c r="A402" s="7" t="n"/>
      <c r="B402" s="6" t="n"/>
      <c r="C402" s="6" t="n"/>
      <c r="D402" s="6">
        <f>IF(C402="","",IFERROR(VLOOKUP(C402,Lists!$C:$D,2,FALSE),""))</f>
        <v/>
      </c>
      <c r="E402" s="6" t="n"/>
      <c r="F402" s="6" t="n"/>
      <c r="G402" s="7">
        <f>IF(A402="","",A402+(7-WEEKDAY(A402,2)))</f>
        <v/>
      </c>
      <c r="H402" s="6">
        <f>IF(OR(A402="",B402=""),"",SUMIFS($E$2:$E$1001,$A$2:$A$1001,A402,$B$2:$B$1001,B402))</f>
        <v/>
      </c>
    </row>
    <row r="403">
      <c r="A403" s="7" t="n"/>
      <c r="B403" s="6" t="n"/>
      <c r="C403" s="6" t="n"/>
      <c r="D403" s="6">
        <f>IF(C403="","",IFERROR(VLOOKUP(C403,Lists!$C:$D,2,FALSE),""))</f>
        <v/>
      </c>
      <c r="E403" s="6" t="n"/>
      <c r="F403" s="6" t="n"/>
      <c r="G403" s="7">
        <f>IF(A403="","",A403+(7-WEEKDAY(A403,2)))</f>
        <v/>
      </c>
      <c r="H403" s="6">
        <f>IF(OR(A403="",B403=""),"",SUMIFS($E$2:$E$1001,$A$2:$A$1001,A403,$B$2:$B$1001,B403))</f>
        <v/>
      </c>
    </row>
    <row r="404">
      <c r="A404" s="7" t="n"/>
      <c r="B404" s="6" t="n"/>
      <c r="C404" s="6" t="n"/>
      <c r="D404" s="6">
        <f>IF(C404="","",IFERROR(VLOOKUP(C404,Lists!$C:$D,2,FALSE),""))</f>
        <v/>
      </c>
      <c r="E404" s="6" t="n"/>
      <c r="F404" s="6" t="n"/>
      <c r="G404" s="7">
        <f>IF(A404="","",A404+(7-WEEKDAY(A404,2)))</f>
        <v/>
      </c>
      <c r="H404" s="6">
        <f>IF(OR(A404="",B404=""),"",SUMIFS($E$2:$E$1001,$A$2:$A$1001,A404,$B$2:$B$1001,B404))</f>
        <v/>
      </c>
    </row>
    <row r="405">
      <c r="A405" s="7" t="n"/>
      <c r="B405" s="6" t="n"/>
      <c r="C405" s="6" t="n"/>
      <c r="D405" s="6">
        <f>IF(C405="","",IFERROR(VLOOKUP(C405,Lists!$C:$D,2,FALSE),""))</f>
        <v/>
      </c>
      <c r="E405" s="6" t="n"/>
      <c r="F405" s="6" t="n"/>
      <c r="G405" s="7">
        <f>IF(A405="","",A405+(7-WEEKDAY(A405,2)))</f>
        <v/>
      </c>
      <c r="H405" s="6">
        <f>IF(OR(A405="",B405=""),"",SUMIFS($E$2:$E$1001,$A$2:$A$1001,A405,$B$2:$B$1001,B405))</f>
        <v/>
      </c>
    </row>
    <row r="406">
      <c r="A406" s="7" t="n"/>
      <c r="B406" s="6" t="n"/>
      <c r="C406" s="6" t="n"/>
      <c r="D406" s="6">
        <f>IF(C406="","",IFERROR(VLOOKUP(C406,Lists!$C:$D,2,FALSE),""))</f>
        <v/>
      </c>
      <c r="E406" s="6" t="n"/>
      <c r="F406" s="6" t="n"/>
      <c r="G406" s="7">
        <f>IF(A406="","",A406+(7-WEEKDAY(A406,2)))</f>
        <v/>
      </c>
      <c r="H406" s="6">
        <f>IF(OR(A406="",B406=""),"",SUMIFS($E$2:$E$1001,$A$2:$A$1001,A406,$B$2:$B$1001,B406))</f>
        <v/>
      </c>
    </row>
    <row r="407">
      <c r="A407" s="7" t="n"/>
      <c r="B407" s="6" t="n"/>
      <c r="C407" s="6" t="n"/>
      <c r="D407" s="6">
        <f>IF(C407="","",IFERROR(VLOOKUP(C407,Lists!$C:$D,2,FALSE),""))</f>
        <v/>
      </c>
      <c r="E407" s="6" t="n"/>
      <c r="F407" s="6" t="n"/>
      <c r="G407" s="7">
        <f>IF(A407="","",A407+(7-WEEKDAY(A407,2)))</f>
        <v/>
      </c>
      <c r="H407" s="6">
        <f>IF(OR(A407="",B407=""),"",SUMIFS($E$2:$E$1001,$A$2:$A$1001,A407,$B$2:$B$1001,B407))</f>
        <v/>
      </c>
    </row>
    <row r="408">
      <c r="A408" s="7" t="n"/>
      <c r="B408" s="6" t="n"/>
      <c r="C408" s="6" t="n"/>
      <c r="D408" s="6">
        <f>IF(C408="","",IFERROR(VLOOKUP(C408,Lists!$C:$D,2,FALSE),""))</f>
        <v/>
      </c>
      <c r="E408" s="6" t="n"/>
      <c r="F408" s="6" t="n"/>
      <c r="G408" s="7">
        <f>IF(A408="","",A408+(7-WEEKDAY(A408,2)))</f>
        <v/>
      </c>
      <c r="H408" s="6">
        <f>IF(OR(A408="",B408=""),"",SUMIFS($E$2:$E$1001,$A$2:$A$1001,A408,$B$2:$B$1001,B408))</f>
        <v/>
      </c>
    </row>
    <row r="409">
      <c r="A409" s="7" t="n"/>
      <c r="B409" s="6" t="n"/>
      <c r="C409" s="6" t="n"/>
      <c r="D409" s="6">
        <f>IF(C409="","",IFERROR(VLOOKUP(C409,Lists!$C:$D,2,FALSE),""))</f>
        <v/>
      </c>
      <c r="E409" s="6" t="n"/>
      <c r="F409" s="6" t="n"/>
      <c r="G409" s="7">
        <f>IF(A409="","",A409+(7-WEEKDAY(A409,2)))</f>
        <v/>
      </c>
      <c r="H409" s="6">
        <f>IF(OR(A409="",B409=""),"",SUMIFS($E$2:$E$1001,$A$2:$A$1001,A409,$B$2:$B$1001,B409))</f>
        <v/>
      </c>
    </row>
    <row r="410">
      <c r="A410" s="7" t="n"/>
      <c r="B410" s="6" t="n"/>
      <c r="C410" s="6" t="n"/>
      <c r="D410" s="6">
        <f>IF(C410="","",IFERROR(VLOOKUP(C410,Lists!$C:$D,2,FALSE),""))</f>
        <v/>
      </c>
      <c r="E410" s="6" t="n"/>
      <c r="F410" s="6" t="n"/>
      <c r="G410" s="7">
        <f>IF(A410="","",A410+(7-WEEKDAY(A410,2)))</f>
        <v/>
      </c>
      <c r="H410" s="6">
        <f>IF(OR(A410="",B410=""),"",SUMIFS($E$2:$E$1001,$A$2:$A$1001,A410,$B$2:$B$1001,B410))</f>
        <v/>
      </c>
    </row>
    <row r="411">
      <c r="A411" s="7" t="n"/>
      <c r="B411" s="6" t="n"/>
      <c r="C411" s="6" t="n"/>
      <c r="D411" s="6">
        <f>IF(C411="","",IFERROR(VLOOKUP(C411,Lists!$C:$D,2,FALSE),""))</f>
        <v/>
      </c>
      <c r="E411" s="6" t="n"/>
      <c r="F411" s="6" t="n"/>
      <c r="G411" s="7">
        <f>IF(A411="","",A411+(7-WEEKDAY(A411,2)))</f>
        <v/>
      </c>
      <c r="H411" s="6">
        <f>IF(OR(A411="",B411=""),"",SUMIFS($E$2:$E$1001,$A$2:$A$1001,A411,$B$2:$B$1001,B411))</f>
        <v/>
      </c>
    </row>
    <row r="412">
      <c r="A412" s="7" t="n"/>
      <c r="B412" s="6" t="n"/>
      <c r="C412" s="6" t="n"/>
      <c r="D412" s="6">
        <f>IF(C412="","",IFERROR(VLOOKUP(C412,Lists!$C:$D,2,FALSE),""))</f>
        <v/>
      </c>
      <c r="E412" s="6" t="n"/>
      <c r="F412" s="6" t="n"/>
      <c r="G412" s="7">
        <f>IF(A412="","",A412+(7-WEEKDAY(A412,2)))</f>
        <v/>
      </c>
      <c r="H412" s="6">
        <f>IF(OR(A412="",B412=""),"",SUMIFS($E$2:$E$1001,$A$2:$A$1001,A412,$B$2:$B$1001,B412))</f>
        <v/>
      </c>
    </row>
    <row r="413">
      <c r="A413" s="7" t="n"/>
      <c r="B413" s="6" t="n"/>
      <c r="C413" s="6" t="n"/>
      <c r="D413" s="6">
        <f>IF(C413="","",IFERROR(VLOOKUP(C413,Lists!$C:$D,2,FALSE),""))</f>
        <v/>
      </c>
      <c r="E413" s="6" t="n"/>
      <c r="F413" s="6" t="n"/>
      <c r="G413" s="7">
        <f>IF(A413="","",A413+(7-WEEKDAY(A413,2)))</f>
        <v/>
      </c>
      <c r="H413" s="6">
        <f>IF(OR(A413="",B413=""),"",SUMIFS($E$2:$E$1001,$A$2:$A$1001,A413,$B$2:$B$1001,B413))</f>
        <v/>
      </c>
    </row>
    <row r="414">
      <c r="A414" s="7" t="n"/>
      <c r="B414" s="6" t="n"/>
      <c r="C414" s="6" t="n"/>
      <c r="D414" s="6">
        <f>IF(C414="","",IFERROR(VLOOKUP(C414,Lists!$C:$D,2,FALSE),""))</f>
        <v/>
      </c>
      <c r="E414" s="6" t="n"/>
      <c r="F414" s="6" t="n"/>
      <c r="G414" s="7">
        <f>IF(A414="","",A414+(7-WEEKDAY(A414,2)))</f>
        <v/>
      </c>
      <c r="H414" s="6">
        <f>IF(OR(A414="",B414=""),"",SUMIFS($E$2:$E$1001,$A$2:$A$1001,A414,$B$2:$B$1001,B414))</f>
        <v/>
      </c>
    </row>
    <row r="415">
      <c r="A415" s="7" t="n"/>
      <c r="B415" s="6" t="n"/>
      <c r="C415" s="6" t="n"/>
      <c r="D415" s="6">
        <f>IF(C415="","",IFERROR(VLOOKUP(C415,Lists!$C:$D,2,FALSE),""))</f>
        <v/>
      </c>
      <c r="E415" s="6" t="n"/>
      <c r="F415" s="6" t="n"/>
      <c r="G415" s="7">
        <f>IF(A415="","",A415+(7-WEEKDAY(A415,2)))</f>
        <v/>
      </c>
      <c r="H415" s="6">
        <f>IF(OR(A415="",B415=""),"",SUMIFS($E$2:$E$1001,$A$2:$A$1001,A415,$B$2:$B$1001,B415))</f>
        <v/>
      </c>
    </row>
    <row r="416">
      <c r="A416" s="7" t="n"/>
      <c r="B416" s="6" t="n"/>
      <c r="C416" s="6" t="n"/>
      <c r="D416" s="6">
        <f>IF(C416="","",IFERROR(VLOOKUP(C416,Lists!$C:$D,2,FALSE),""))</f>
        <v/>
      </c>
      <c r="E416" s="6" t="n"/>
      <c r="F416" s="6" t="n"/>
      <c r="G416" s="7">
        <f>IF(A416="","",A416+(7-WEEKDAY(A416,2)))</f>
        <v/>
      </c>
      <c r="H416" s="6">
        <f>IF(OR(A416="",B416=""),"",SUMIFS($E$2:$E$1001,$A$2:$A$1001,A416,$B$2:$B$1001,B416))</f>
        <v/>
      </c>
    </row>
    <row r="417">
      <c r="A417" s="7" t="n"/>
      <c r="B417" s="6" t="n"/>
      <c r="C417" s="6" t="n"/>
      <c r="D417" s="6">
        <f>IF(C417="","",IFERROR(VLOOKUP(C417,Lists!$C:$D,2,FALSE),""))</f>
        <v/>
      </c>
      <c r="E417" s="6" t="n"/>
      <c r="F417" s="6" t="n"/>
      <c r="G417" s="7">
        <f>IF(A417="","",A417+(7-WEEKDAY(A417,2)))</f>
        <v/>
      </c>
      <c r="H417" s="6">
        <f>IF(OR(A417="",B417=""),"",SUMIFS($E$2:$E$1001,$A$2:$A$1001,A417,$B$2:$B$1001,B417))</f>
        <v/>
      </c>
    </row>
    <row r="418">
      <c r="A418" s="7" t="n"/>
      <c r="B418" s="6" t="n"/>
      <c r="C418" s="6" t="n"/>
      <c r="D418" s="6">
        <f>IF(C418="","",IFERROR(VLOOKUP(C418,Lists!$C:$D,2,FALSE),""))</f>
        <v/>
      </c>
      <c r="E418" s="6" t="n"/>
      <c r="F418" s="6" t="n"/>
      <c r="G418" s="7">
        <f>IF(A418="","",A418+(7-WEEKDAY(A418,2)))</f>
        <v/>
      </c>
      <c r="H418" s="6">
        <f>IF(OR(A418="",B418=""),"",SUMIFS($E$2:$E$1001,$A$2:$A$1001,A418,$B$2:$B$1001,B418))</f>
        <v/>
      </c>
    </row>
    <row r="419">
      <c r="A419" s="7" t="n"/>
      <c r="B419" s="6" t="n"/>
      <c r="C419" s="6" t="n"/>
      <c r="D419" s="6">
        <f>IF(C419="","",IFERROR(VLOOKUP(C419,Lists!$C:$D,2,FALSE),""))</f>
        <v/>
      </c>
      <c r="E419" s="6" t="n"/>
      <c r="F419" s="6" t="n"/>
      <c r="G419" s="7">
        <f>IF(A419="","",A419+(7-WEEKDAY(A419,2)))</f>
        <v/>
      </c>
      <c r="H419" s="6">
        <f>IF(OR(A419="",B419=""),"",SUMIFS($E$2:$E$1001,$A$2:$A$1001,A419,$B$2:$B$1001,B419))</f>
        <v/>
      </c>
    </row>
    <row r="420">
      <c r="A420" s="7" t="n"/>
      <c r="B420" s="6" t="n"/>
      <c r="C420" s="6" t="n"/>
      <c r="D420" s="6">
        <f>IF(C420="","",IFERROR(VLOOKUP(C420,Lists!$C:$D,2,FALSE),""))</f>
        <v/>
      </c>
      <c r="E420" s="6" t="n"/>
      <c r="F420" s="6" t="n"/>
      <c r="G420" s="7">
        <f>IF(A420="","",A420+(7-WEEKDAY(A420,2)))</f>
        <v/>
      </c>
      <c r="H420" s="6">
        <f>IF(OR(A420="",B420=""),"",SUMIFS($E$2:$E$1001,$A$2:$A$1001,A420,$B$2:$B$1001,B420))</f>
        <v/>
      </c>
    </row>
    <row r="421">
      <c r="A421" s="7" t="n"/>
      <c r="B421" s="6" t="n"/>
      <c r="C421" s="6" t="n"/>
      <c r="D421" s="6">
        <f>IF(C421="","",IFERROR(VLOOKUP(C421,Lists!$C:$D,2,FALSE),""))</f>
        <v/>
      </c>
      <c r="E421" s="6" t="n"/>
      <c r="F421" s="6" t="n"/>
      <c r="G421" s="7">
        <f>IF(A421="","",A421+(7-WEEKDAY(A421,2)))</f>
        <v/>
      </c>
      <c r="H421" s="6">
        <f>IF(OR(A421="",B421=""),"",SUMIFS($E$2:$E$1001,$A$2:$A$1001,A421,$B$2:$B$1001,B421))</f>
        <v/>
      </c>
    </row>
    <row r="422">
      <c r="A422" s="7" t="n"/>
      <c r="B422" s="6" t="n"/>
      <c r="C422" s="6" t="n"/>
      <c r="D422" s="6">
        <f>IF(C422="","",IFERROR(VLOOKUP(C422,Lists!$C:$D,2,FALSE),""))</f>
        <v/>
      </c>
      <c r="E422" s="6" t="n"/>
      <c r="F422" s="6" t="n"/>
      <c r="G422" s="7">
        <f>IF(A422="","",A422+(7-WEEKDAY(A422,2)))</f>
        <v/>
      </c>
      <c r="H422" s="6">
        <f>IF(OR(A422="",B422=""),"",SUMIFS($E$2:$E$1001,$A$2:$A$1001,A422,$B$2:$B$1001,B422))</f>
        <v/>
      </c>
    </row>
    <row r="423">
      <c r="A423" s="7" t="n"/>
      <c r="B423" s="6" t="n"/>
      <c r="C423" s="6" t="n"/>
      <c r="D423" s="6">
        <f>IF(C423="","",IFERROR(VLOOKUP(C423,Lists!$C:$D,2,FALSE),""))</f>
        <v/>
      </c>
      <c r="E423" s="6" t="n"/>
      <c r="F423" s="6" t="n"/>
      <c r="G423" s="7">
        <f>IF(A423="","",A423+(7-WEEKDAY(A423,2)))</f>
        <v/>
      </c>
      <c r="H423" s="6">
        <f>IF(OR(A423="",B423=""),"",SUMIFS($E$2:$E$1001,$A$2:$A$1001,A423,$B$2:$B$1001,B423))</f>
        <v/>
      </c>
    </row>
    <row r="424">
      <c r="A424" s="7" t="n"/>
      <c r="B424" s="6" t="n"/>
      <c r="C424" s="6" t="n"/>
      <c r="D424" s="6">
        <f>IF(C424="","",IFERROR(VLOOKUP(C424,Lists!$C:$D,2,FALSE),""))</f>
        <v/>
      </c>
      <c r="E424" s="6" t="n"/>
      <c r="F424" s="6" t="n"/>
      <c r="G424" s="7">
        <f>IF(A424="","",A424+(7-WEEKDAY(A424,2)))</f>
        <v/>
      </c>
      <c r="H424" s="6">
        <f>IF(OR(A424="",B424=""),"",SUMIFS($E$2:$E$1001,$A$2:$A$1001,A424,$B$2:$B$1001,B424))</f>
        <v/>
      </c>
    </row>
    <row r="425">
      <c r="A425" s="7" t="n"/>
      <c r="B425" s="6" t="n"/>
      <c r="C425" s="6" t="n"/>
      <c r="D425" s="6">
        <f>IF(C425="","",IFERROR(VLOOKUP(C425,Lists!$C:$D,2,FALSE),""))</f>
        <v/>
      </c>
      <c r="E425" s="6" t="n"/>
      <c r="F425" s="6" t="n"/>
      <c r="G425" s="7">
        <f>IF(A425="","",A425+(7-WEEKDAY(A425,2)))</f>
        <v/>
      </c>
      <c r="H425" s="6">
        <f>IF(OR(A425="",B425=""),"",SUMIFS($E$2:$E$1001,$A$2:$A$1001,A425,$B$2:$B$1001,B425))</f>
        <v/>
      </c>
    </row>
    <row r="426">
      <c r="A426" s="7" t="n"/>
      <c r="B426" s="6" t="n"/>
      <c r="C426" s="6" t="n"/>
      <c r="D426" s="6">
        <f>IF(C426="","",IFERROR(VLOOKUP(C426,Lists!$C:$D,2,FALSE),""))</f>
        <v/>
      </c>
      <c r="E426" s="6" t="n"/>
      <c r="F426" s="6" t="n"/>
      <c r="G426" s="7">
        <f>IF(A426="","",A426+(7-WEEKDAY(A426,2)))</f>
        <v/>
      </c>
      <c r="H426" s="6">
        <f>IF(OR(A426="",B426=""),"",SUMIFS($E$2:$E$1001,$A$2:$A$1001,A426,$B$2:$B$1001,B426))</f>
        <v/>
      </c>
    </row>
    <row r="427">
      <c r="A427" s="7" t="n"/>
      <c r="B427" s="6" t="n"/>
      <c r="C427" s="6" t="n"/>
      <c r="D427" s="6">
        <f>IF(C427="","",IFERROR(VLOOKUP(C427,Lists!$C:$D,2,FALSE),""))</f>
        <v/>
      </c>
      <c r="E427" s="6" t="n"/>
      <c r="F427" s="6" t="n"/>
      <c r="G427" s="7">
        <f>IF(A427="","",A427+(7-WEEKDAY(A427,2)))</f>
        <v/>
      </c>
      <c r="H427" s="6">
        <f>IF(OR(A427="",B427=""),"",SUMIFS($E$2:$E$1001,$A$2:$A$1001,A427,$B$2:$B$1001,B427))</f>
        <v/>
      </c>
    </row>
    <row r="428">
      <c r="A428" s="7" t="n"/>
      <c r="B428" s="6" t="n"/>
      <c r="C428" s="6" t="n"/>
      <c r="D428" s="6">
        <f>IF(C428="","",IFERROR(VLOOKUP(C428,Lists!$C:$D,2,FALSE),""))</f>
        <v/>
      </c>
      <c r="E428" s="6" t="n"/>
      <c r="F428" s="6" t="n"/>
      <c r="G428" s="7">
        <f>IF(A428="","",A428+(7-WEEKDAY(A428,2)))</f>
        <v/>
      </c>
      <c r="H428" s="6">
        <f>IF(OR(A428="",B428=""),"",SUMIFS($E$2:$E$1001,$A$2:$A$1001,A428,$B$2:$B$1001,B428))</f>
        <v/>
      </c>
    </row>
    <row r="429">
      <c r="A429" s="7" t="n"/>
      <c r="B429" s="6" t="n"/>
      <c r="C429" s="6" t="n"/>
      <c r="D429" s="6">
        <f>IF(C429="","",IFERROR(VLOOKUP(C429,Lists!$C:$D,2,FALSE),""))</f>
        <v/>
      </c>
      <c r="E429" s="6" t="n"/>
      <c r="F429" s="6" t="n"/>
      <c r="G429" s="7">
        <f>IF(A429="","",A429+(7-WEEKDAY(A429,2)))</f>
        <v/>
      </c>
      <c r="H429" s="6">
        <f>IF(OR(A429="",B429=""),"",SUMIFS($E$2:$E$1001,$A$2:$A$1001,A429,$B$2:$B$1001,B429))</f>
        <v/>
      </c>
    </row>
    <row r="430">
      <c r="A430" s="7" t="n"/>
      <c r="B430" s="6" t="n"/>
      <c r="C430" s="6" t="n"/>
      <c r="D430" s="6">
        <f>IF(C430="","",IFERROR(VLOOKUP(C430,Lists!$C:$D,2,FALSE),""))</f>
        <v/>
      </c>
      <c r="E430" s="6" t="n"/>
      <c r="F430" s="6" t="n"/>
      <c r="G430" s="7">
        <f>IF(A430="","",A430+(7-WEEKDAY(A430,2)))</f>
        <v/>
      </c>
      <c r="H430" s="6">
        <f>IF(OR(A430="",B430=""),"",SUMIFS($E$2:$E$1001,$A$2:$A$1001,A430,$B$2:$B$1001,B430))</f>
        <v/>
      </c>
    </row>
    <row r="431">
      <c r="A431" s="7" t="n"/>
      <c r="B431" s="6" t="n"/>
      <c r="C431" s="6" t="n"/>
      <c r="D431" s="6">
        <f>IF(C431="","",IFERROR(VLOOKUP(C431,Lists!$C:$D,2,FALSE),""))</f>
        <v/>
      </c>
      <c r="E431" s="6" t="n"/>
      <c r="F431" s="6" t="n"/>
      <c r="G431" s="7">
        <f>IF(A431="","",A431+(7-WEEKDAY(A431,2)))</f>
        <v/>
      </c>
      <c r="H431" s="6">
        <f>IF(OR(A431="",B431=""),"",SUMIFS($E$2:$E$1001,$A$2:$A$1001,A431,$B$2:$B$1001,B431))</f>
        <v/>
      </c>
    </row>
    <row r="432">
      <c r="A432" s="7" t="n"/>
      <c r="B432" s="6" t="n"/>
      <c r="C432" s="6" t="n"/>
      <c r="D432" s="6">
        <f>IF(C432="","",IFERROR(VLOOKUP(C432,Lists!$C:$D,2,FALSE),""))</f>
        <v/>
      </c>
      <c r="E432" s="6" t="n"/>
      <c r="F432" s="6" t="n"/>
      <c r="G432" s="7">
        <f>IF(A432="","",A432+(7-WEEKDAY(A432,2)))</f>
        <v/>
      </c>
      <c r="H432" s="6">
        <f>IF(OR(A432="",B432=""),"",SUMIFS($E$2:$E$1001,$A$2:$A$1001,A432,$B$2:$B$1001,B432))</f>
        <v/>
      </c>
    </row>
    <row r="433">
      <c r="A433" s="7" t="n"/>
      <c r="B433" s="6" t="n"/>
      <c r="C433" s="6" t="n"/>
      <c r="D433" s="6">
        <f>IF(C433="","",IFERROR(VLOOKUP(C433,Lists!$C:$D,2,FALSE),""))</f>
        <v/>
      </c>
      <c r="E433" s="6" t="n"/>
      <c r="F433" s="6" t="n"/>
      <c r="G433" s="7">
        <f>IF(A433="","",A433+(7-WEEKDAY(A433,2)))</f>
        <v/>
      </c>
      <c r="H433" s="6">
        <f>IF(OR(A433="",B433=""),"",SUMIFS($E$2:$E$1001,$A$2:$A$1001,A433,$B$2:$B$1001,B433))</f>
        <v/>
      </c>
    </row>
    <row r="434">
      <c r="A434" s="7" t="n"/>
      <c r="B434" s="6" t="n"/>
      <c r="C434" s="6" t="n"/>
      <c r="D434" s="6">
        <f>IF(C434="","",IFERROR(VLOOKUP(C434,Lists!$C:$D,2,FALSE),""))</f>
        <v/>
      </c>
      <c r="E434" s="6" t="n"/>
      <c r="F434" s="6" t="n"/>
      <c r="G434" s="7">
        <f>IF(A434="","",A434+(7-WEEKDAY(A434,2)))</f>
        <v/>
      </c>
      <c r="H434" s="6">
        <f>IF(OR(A434="",B434=""),"",SUMIFS($E$2:$E$1001,$A$2:$A$1001,A434,$B$2:$B$1001,B434))</f>
        <v/>
      </c>
    </row>
    <row r="435">
      <c r="A435" s="7" t="n"/>
      <c r="B435" s="6" t="n"/>
      <c r="C435" s="6" t="n"/>
      <c r="D435" s="6">
        <f>IF(C435="","",IFERROR(VLOOKUP(C435,Lists!$C:$D,2,FALSE),""))</f>
        <v/>
      </c>
      <c r="E435" s="6" t="n"/>
      <c r="F435" s="6" t="n"/>
      <c r="G435" s="7">
        <f>IF(A435="","",A435+(7-WEEKDAY(A435,2)))</f>
        <v/>
      </c>
      <c r="H435" s="6">
        <f>IF(OR(A435="",B435=""),"",SUMIFS($E$2:$E$1001,$A$2:$A$1001,A435,$B$2:$B$1001,B435))</f>
        <v/>
      </c>
    </row>
    <row r="436">
      <c r="A436" s="7" t="n"/>
      <c r="B436" s="6" t="n"/>
      <c r="C436" s="6" t="n"/>
      <c r="D436" s="6">
        <f>IF(C436="","",IFERROR(VLOOKUP(C436,Lists!$C:$D,2,FALSE),""))</f>
        <v/>
      </c>
      <c r="E436" s="6" t="n"/>
      <c r="F436" s="6" t="n"/>
      <c r="G436" s="7">
        <f>IF(A436="","",A436+(7-WEEKDAY(A436,2)))</f>
        <v/>
      </c>
      <c r="H436" s="6">
        <f>IF(OR(A436="",B436=""),"",SUMIFS($E$2:$E$1001,$A$2:$A$1001,A436,$B$2:$B$1001,B436))</f>
        <v/>
      </c>
    </row>
    <row r="437">
      <c r="A437" s="7" t="n"/>
      <c r="B437" s="6" t="n"/>
      <c r="C437" s="6" t="n"/>
      <c r="D437" s="6">
        <f>IF(C437="","",IFERROR(VLOOKUP(C437,Lists!$C:$D,2,FALSE),""))</f>
        <v/>
      </c>
      <c r="E437" s="6" t="n"/>
      <c r="F437" s="6" t="n"/>
      <c r="G437" s="7">
        <f>IF(A437="","",A437+(7-WEEKDAY(A437,2)))</f>
        <v/>
      </c>
      <c r="H437" s="6">
        <f>IF(OR(A437="",B437=""),"",SUMIFS($E$2:$E$1001,$A$2:$A$1001,A437,$B$2:$B$1001,B437))</f>
        <v/>
      </c>
    </row>
    <row r="438">
      <c r="A438" s="7" t="n"/>
      <c r="B438" s="6" t="n"/>
      <c r="C438" s="6" t="n"/>
      <c r="D438" s="6">
        <f>IF(C438="","",IFERROR(VLOOKUP(C438,Lists!$C:$D,2,FALSE),""))</f>
        <v/>
      </c>
      <c r="E438" s="6" t="n"/>
      <c r="F438" s="6" t="n"/>
      <c r="G438" s="7">
        <f>IF(A438="","",A438+(7-WEEKDAY(A438,2)))</f>
        <v/>
      </c>
      <c r="H438" s="6">
        <f>IF(OR(A438="",B438=""),"",SUMIFS($E$2:$E$1001,$A$2:$A$1001,A438,$B$2:$B$1001,B438))</f>
        <v/>
      </c>
    </row>
    <row r="439">
      <c r="A439" s="7" t="n"/>
      <c r="B439" s="6" t="n"/>
      <c r="C439" s="6" t="n"/>
      <c r="D439" s="6">
        <f>IF(C439="","",IFERROR(VLOOKUP(C439,Lists!$C:$D,2,FALSE),""))</f>
        <v/>
      </c>
      <c r="E439" s="6" t="n"/>
      <c r="F439" s="6" t="n"/>
      <c r="G439" s="7">
        <f>IF(A439="","",A439+(7-WEEKDAY(A439,2)))</f>
        <v/>
      </c>
      <c r="H439" s="6">
        <f>IF(OR(A439="",B439=""),"",SUMIFS($E$2:$E$1001,$A$2:$A$1001,A439,$B$2:$B$1001,B439))</f>
        <v/>
      </c>
    </row>
    <row r="440">
      <c r="A440" s="7" t="n"/>
      <c r="B440" s="6" t="n"/>
      <c r="C440" s="6" t="n"/>
      <c r="D440" s="6">
        <f>IF(C440="","",IFERROR(VLOOKUP(C440,Lists!$C:$D,2,FALSE),""))</f>
        <v/>
      </c>
      <c r="E440" s="6" t="n"/>
      <c r="F440" s="6" t="n"/>
      <c r="G440" s="7">
        <f>IF(A440="","",A440+(7-WEEKDAY(A440,2)))</f>
        <v/>
      </c>
      <c r="H440" s="6">
        <f>IF(OR(A440="",B440=""),"",SUMIFS($E$2:$E$1001,$A$2:$A$1001,A440,$B$2:$B$1001,B440))</f>
        <v/>
      </c>
    </row>
    <row r="441">
      <c r="A441" s="7" t="n"/>
      <c r="B441" s="6" t="n"/>
      <c r="C441" s="6" t="n"/>
      <c r="D441" s="6">
        <f>IF(C441="","",IFERROR(VLOOKUP(C441,Lists!$C:$D,2,FALSE),""))</f>
        <v/>
      </c>
      <c r="E441" s="6" t="n"/>
      <c r="F441" s="6" t="n"/>
      <c r="G441" s="7">
        <f>IF(A441="","",A441+(7-WEEKDAY(A441,2)))</f>
        <v/>
      </c>
      <c r="H441" s="6">
        <f>IF(OR(A441="",B441=""),"",SUMIFS($E$2:$E$1001,$A$2:$A$1001,A441,$B$2:$B$1001,B441))</f>
        <v/>
      </c>
    </row>
    <row r="442">
      <c r="A442" s="7" t="n"/>
      <c r="B442" s="6" t="n"/>
      <c r="C442" s="6" t="n"/>
      <c r="D442" s="6">
        <f>IF(C442="","",IFERROR(VLOOKUP(C442,Lists!$C:$D,2,FALSE),""))</f>
        <v/>
      </c>
      <c r="E442" s="6" t="n"/>
      <c r="F442" s="6" t="n"/>
      <c r="G442" s="7">
        <f>IF(A442="","",A442+(7-WEEKDAY(A442,2)))</f>
        <v/>
      </c>
      <c r="H442" s="6">
        <f>IF(OR(A442="",B442=""),"",SUMIFS($E$2:$E$1001,$A$2:$A$1001,A442,$B$2:$B$1001,B442))</f>
        <v/>
      </c>
    </row>
    <row r="443">
      <c r="A443" s="7" t="n"/>
      <c r="B443" s="6" t="n"/>
      <c r="C443" s="6" t="n"/>
      <c r="D443" s="6">
        <f>IF(C443="","",IFERROR(VLOOKUP(C443,Lists!$C:$D,2,FALSE),""))</f>
        <v/>
      </c>
      <c r="E443" s="6" t="n"/>
      <c r="F443" s="6" t="n"/>
      <c r="G443" s="7">
        <f>IF(A443="","",A443+(7-WEEKDAY(A443,2)))</f>
        <v/>
      </c>
      <c r="H443" s="6">
        <f>IF(OR(A443="",B443=""),"",SUMIFS($E$2:$E$1001,$A$2:$A$1001,A443,$B$2:$B$1001,B443))</f>
        <v/>
      </c>
    </row>
    <row r="444">
      <c r="A444" s="7" t="n"/>
      <c r="B444" s="6" t="n"/>
      <c r="C444" s="6" t="n"/>
      <c r="D444" s="6">
        <f>IF(C444="","",IFERROR(VLOOKUP(C444,Lists!$C:$D,2,FALSE),""))</f>
        <v/>
      </c>
      <c r="E444" s="6" t="n"/>
      <c r="F444" s="6" t="n"/>
      <c r="G444" s="7">
        <f>IF(A444="","",A444+(7-WEEKDAY(A444,2)))</f>
        <v/>
      </c>
      <c r="H444" s="6">
        <f>IF(OR(A444="",B444=""),"",SUMIFS($E$2:$E$1001,$A$2:$A$1001,A444,$B$2:$B$1001,B444))</f>
        <v/>
      </c>
    </row>
    <row r="445">
      <c r="A445" s="7" t="n"/>
      <c r="B445" s="6" t="n"/>
      <c r="C445" s="6" t="n"/>
      <c r="D445" s="6">
        <f>IF(C445="","",IFERROR(VLOOKUP(C445,Lists!$C:$D,2,FALSE),""))</f>
        <v/>
      </c>
      <c r="E445" s="6" t="n"/>
      <c r="F445" s="6" t="n"/>
      <c r="G445" s="7">
        <f>IF(A445="","",A445+(7-WEEKDAY(A445,2)))</f>
        <v/>
      </c>
      <c r="H445" s="6">
        <f>IF(OR(A445="",B445=""),"",SUMIFS($E$2:$E$1001,$A$2:$A$1001,A445,$B$2:$B$1001,B445))</f>
        <v/>
      </c>
    </row>
    <row r="446">
      <c r="A446" s="7" t="n"/>
      <c r="B446" s="6" t="n"/>
      <c r="C446" s="6" t="n"/>
      <c r="D446" s="6">
        <f>IF(C446="","",IFERROR(VLOOKUP(C446,Lists!$C:$D,2,FALSE),""))</f>
        <v/>
      </c>
      <c r="E446" s="6" t="n"/>
      <c r="F446" s="6" t="n"/>
      <c r="G446" s="7">
        <f>IF(A446="","",A446+(7-WEEKDAY(A446,2)))</f>
        <v/>
      </c>
      <c r="H446" s="6">
        <f>IF(OR(A446="",B446=""),"",SUMIFS($E$2:$E$1001,$A$2:$A$1001,A446,$B$2:$B$1001,B446))</f>
        <v/>
      </c>
    </row>
    <row r="447">
      <c r="A447" s="7" t="n"/>
      <c r="B447" s="6" t="n"/>
      <c r="C447" s="6" t="n"/>
      <c r="D447" s="6">
        <f>IF(C447="","",IFERROR(VLOOKUP(C447,Lists!$C:$D,2,FALSE),""))</f>
        <v/>
      </c>
      <c r="E447" s="6" t="n"/>
      <c r="F447" s="6" t="n"/>
      <c r="G447" s="7">
        <f>IF(A447="","",A447+(7-WEEKDAY(A447,2)))</f>
        <v/>
      </c>
      <c r="H447" s="6">
        <f>IF(OR(A447="",B447=""),"",SUMIFS($E$2:$E$1001,$A$2:$A$1001,A447,$B$2:$B$1001,B447))</f>
        <v/>
      </c>
    </row>
    <row r="448">
      <c r="A448" s="7" t="n"/>
      <c r="B448" s="6" t="n"/>
      <c r="C448" s="6" t="n"/>
      <c r="D448" s="6">
        <f>IF(C448="","",IFERROR(VLOOKUP(C448,Lists!$C:$D,2,FALSE),""))</f>
        <v/>
      </c>
      <c r="E448" s="6" t="n"/>
      <c r="F448" s="6" t="n"/>
      <c r="G448" s="7">
        <f>IF(A448="","",A448+(7-WEEKDAY(A448,2)))</f>
        <v/>
      </c>
      <c r="H448" s="6">
        <f>IF(OR(A448="",B448=""),"",SUMIFS($E$2:$E$1001,$A$2:$A$1001,A448,$B$2:$B$1001,B448))</f>
        <v/>
      </c>
    </row>
    <row r="449">
      <c r="A449" s="7" t="n"/>
      <c r="B449" s="6" t="n"/>
      <c r="C449" s="6" t="n"/>
      <c r="D449" s="6">
        <f>IF(C449="","",IFERROR(VLOOKUP(C449,Lists!$C:$D,2,FALSE),""))</f>
        <v/>
      </c>
      <c r="E449" s="6" t="n"/>
      <c r="F449" s="6" t="n"/>
      <c r="G449" s="7">
        <f>IF(A449="","",A449+(7-WEEKDAY(A449,2)))</f>
        <v/>
      </c>
      <c r="H449" s="6">
        <f>IF(OR(A449="",B449=""),"",SUMIFS($E$2:$E$1001,$A$2:$A$1001,A449,$B$2:$B$1001,B449))</f>
        <v/>
      </c>
    </row>
    <row r="450">
      <c r="A450" s="7" t="n"/>
      <c r="B450" s="6" t="n"/>
      <c r="C450" s="6" t="n"/>
      <c r="D450" s="6">
        <f>IF(C450="","",IFERROR(VLOOKUP(C450,Lists!$C:$D,2,FALSE),""))</f>
        <v/>
      </c>
      <c r="E450" s="6" t="n"/>
      <c r="F450" s="6" t="n"/>
      <c r="G450" s="7">
        <f>IF(A450="","",A450+(7-WEEKDAY(A450,2)))</f>
        <v/>
      </c>
      <c r="H450" s="6">
        <f>IF(OR(A450="",B450=""),"",SUMIFS($E$2:$E$1001,$A$2:$A$1001,A450,$B$2:$B$1001,B450))</f>
        <v/>
      </c>
    </row>
    <row r="451">
      <c r="A451" s="7" t="n"/>
      <c r="B451" s="6" t="n"/>
      <c r="C451" s="6" t="n"/>
      <c r="D451" s="6">
        <f>IF(C451="","",IFERROR(VLOOKUP(C451,Lists!$C:$D,2,FALSE),""))</f>
        <v/>
      </c>
      <c r="E451" s="6" t="n"/>
      <c r="F451" s="6" t="n"/>
      <c r="G451" s="7">
        <f>IF(A451="","",A451+(7-WEEKDAY(A451,2)))</f>
        <v/>
      </c>
      <c r="H451" s="6">
        <f>IF(OR(A451="",B451=""),"",SUMIFS($E$2:$E$1001,$A$2:$A$1001,A451,$B$2:$B$1001,B451))</f>
        <v/>
      </c>
    </row>
    <row r="452">
      <c r="A452" s="7" t="n"/>
      <c r="B452" s="6" t="n"/>
      <c r="C452" s="6" t="n"/>
      <c r="D452" s="6">
        <f>IF(C452="","",IFERROR(VLOOKUP(C452,Lists!$C:$D,2,FALSE),""))</f>
        <v/>
      </c>
      <c r="E452" s="6" t="n"/>
      <c r="F452" s="6" t="n"/>
      <c r="G452" s="7">
        <f>IF(A452="","",A452+(7-WEEKDAY(A452,2)))</f>
        <v/>
      </c>
      <c r="H452" s="6">
        <f>IF(OR(A452="",B452=""),"",SUMIFS($E$2:$E$1001,$A$2:$A$1001,A452,$B$2:$B$1001,B452))</f>
        <v/>
      </c>
    </row>
    <row r="453">
      <c r="A453" s="7" t="n"/>
      <c r="B453" s="6" t="n"/>
      <c r="C453" s="6" t="n"/>
      <c r="D453" s="6">
        <f>IF(C453="","",IFERROR(VLOOKUP(C453,Lists!$C:$D,2,FALSE),""))</f>
        <v/>
      </c>
      <c r="E453" s="6" t="n"/>
      <c r="F453" s="6" t="n"/>
      <c r="G453" s="7">
        <f>IF(A453="","",A453+(7-WEEKDAY(A453,2)))</f>
        <v/>
      </c>
      <c r="H453" s="6">
        <f>IF(OR(A453="",B453=""),"",SUMIFS($E$2:$E$1001,$A$2:$A$1001,A453,$B$2:$B$1001,B453))</f>
        <v/>
      </c>
    </row>
    <row r="454">
      <c r="A454" s="7" t="n"/>
      <c r="B454" s="6" t="n"/>
      <c r="C454" s="6" t="n"/>
      <c r="D454" s="6">
        <f>IF(C454="","",IFERROR(VLOOKUP(C454,Lists!$C:$D,2,FALSE),""))</f>
        <v/>
      </c>
      <c r="E454" s="6" t="n"/>
      <c r="F454" s="6" t="n"/>
      <c r="G454" s="7">
        <f>IF(A454="","",A454+(7-WEEKDAY(A454,2)))</f>
        <v/>
      </c>
      <c r="H454" s="6">
        <f>IF(OR(A454="",B454=""),"",SUMIFS($E$2:$E$1001,$A$2:$A$1001,A454,$B$2:$B$1001,B454))</f>
        <v/>
      </c>
    </row>
    <row r="455">
      <c r="A455" s="7" t="n"/>
      <c r="B455" s="6" t="n"/>
      <c r="C455" s="6" t="n"/>
      <c r="D455" s="6">
        <f>IF(C455="","",IFERROR(VLOOKUP(C455,Lists!$C:$D,2,FALSE),""))</f>
        <v/>
      </c>
      <c r="E455" s="6" t="n"/>
      <c r="F455" s="6" t="n"/>
      <c r="G455" s="7">
        <f>IF(A455="","",A455+(7-WEEKDAY(A455,2)))</f>
        <v/>
      </c>
      <c r="H455" s="6">
        <f>IF(OR(A455="",B455=""),"",SUMIFS($E$2:$E$1001,$A$2:$A$1001,A455,$B$2:$B$1001,B455))</f>
        <v/>
      </c>
    </row>
    <row r="456">
      <c r="A456" s="7" t="n"/>
      <c r="B456" s="6" t="n"/>
      <c r="C456" s="6" t="n"/>
      <c r="D456" s="6">
        <f>IF(C456="","",IFERROR(VLOOKUP(C456,Lists!$C:$D,2,FALSE),""))</f>
        <v/>
      </c>
      <c r="E456" s="6" t="n"/>
      <c r="F456" s="6" t="n"/>
      <c r="G456" s="7">
        <f>IF(A456="","",A456+(7-WEEKDAY(A456,2)))</f>
        <v/>
      </c>
      <c r="H456" s="6">
        <f>IF(OR(A456="",B456=""),"",SUMIFS($E$2:$E$1001,$A$2:$A$1001,A456,$B$2:$B$1001,B456))</f>
        <v/>
      </c>
    </row>
    <row r="457">
      <c r="A457" s="7" t="n"/>
      <c r="B457" s="6" t="n"/>
      <c r="C457" s="6" t="n"/>
      <c r="D457" s="6">
        <f>IF(C457="","",IFERROR(VLOOKUP(C457,Lists!$C:$D,2,FALSE),""))</f>
        <v/>
      </c>
      <c r="E457" s="6" t="n"/>
      <c r="F457" s="6" t="n"/>
      <c r="G457" s="7">
        <f>IF(A457="","",A457+(7-WEEKDAY(A457,2)))</f>
        <v/>
      </c>
      <c r="H457" s="6">
        <f>IF(OR(A457="",B457=""),"",SUMIFS($E$2:$E$1001,$A$2:$A$1001,A457,$B$2:$B$1001,B457))</f>
        <v/>
      </c>
    </row>
    <row r="458">
      <c r="A458" s="7" t="n"/>
      <c r="B458" s="6" t="n"/>
      <c r="C458" s="6" t="n"/>
      <c r="D458" s="6">
        <f>IF(C458="","",IFERROR(VLOOKUP(C458,Lists!$C:$D,2,FALSE),""))</f>
        <v/>
      </c>
      <c r="E458" s="6" t="n"/>
      <c r="F458" s="6" t="n"/>
      <c r="G458" s="7">
        <f>IF(A458="","",A458+(7-WEEKDAY(A458,2)))</f>
        <v/>
      </c>
      <c r="H458" s="6">
        <f>IF(OR(A458="",B458=""),"",SUMIFS($E$2:$E$1001,$A$2:$A$1001,A458,$B$2:$B$1001,B458))</f>
        <v/>
      </c>
    </row>
    <row r="459">
      <c r="A459" s="7" t="n"/>
      <c r="B459" s="6" t="n"/>
      <c r="C459" s="6" t="n"/>
      <c r="D459" s="6">
        <f>IF(C459="","",IFERROR(VLOOKUP(C459,Lists!$C:$D,2,FALSE),""))</f>
        <v/>
      </c>
      <c r="E459" s="6" t="n"/>
      <c r="F459" s="6" t="n"/>
      <c r="G459" s="7">
        <f>IF(A459="","",A459+(7-WEEKDAY(A459,2)))</f>
        <v/>
      </c>
      <c r="H459" s="6">
        <f>IF(OR(A459="",B459=""),"",SUMIFS($E$2:$E$1001,$A$2:$A$1001,A459,$B$2:$B$1001,B459))</f>
        <v/>
      </c>
    </row>
    <row r="460">
      <c r="A460" s="7" t="n"/>
      <c r="B460" s="6" t="n"/>
      <c r="C460" s="6" t="n"/>
      <c r="D460" s="6">
        <f>IF(C460="","",IFERROR(VLOOKUP(C460,Lists!$C:$D,2,FALSE),""))</f>
        <v/>
      </c>
      <c r="E460" s="6" t="n"/>
      <c r="F460" s="6" t="n"/>
      <c r="G460" s="7">
        <f>IF(A460="","",A460+(7-WEEKDAY(A460,2)))</f>
        <v/>
      </c>
      <c r="H460" s="6">
        <f>IF(OR(A460="",B460=""),"",SUMIFS($E$2:$E$1001,$A$2:$A$1001,A460,$B$2:$B$1001,B460))</f>
        <v/>
      </c>
    </row>
    <row r="461">
      <c r="A461" s="7" t="n"/>
      <c r="B461" s="6" t="n"/>
      <c r="C461" s="6" t="n"/>
      <c r="D461" s="6">
        <f>IF(C461="","",IFERROR(VLOOKUP(C461,Lists!$C:$D,2,FALSE),""))</f>
        <v/>
      </c>
      <c r="E461" s="6" t="n"/>
      <c r="F461" s="6" t="n"/>
      <c r="G461" s="7">
        <f>IF(A461="","",A461+(7-WEEKDAY(A461,2)))</f>
        <v/>
      </c>
      <c r="H461" s="6">
        <f>IF(OR(A461="",B461=""),"",SUMIFS($E$2:$E$1001,$A$2:$A$1001,A461,$B$2:$B$1001,B461))</f>
        <v/>
      </c>
    </row>
    <row r="462">
      <c r="A462" s="7" t="n"/>
      <c r="B462" s="6" t="n"/>
      <c r="C462" s="6" t="n"/>
      <c r="D462" s="6">
        <f>IF(C462="","",IFERROR(VLOOKUP(C462,Lists!$C:$D,2,FALSE),""))</f>
        <v/>
      </c>
      <c r="E462" s="6" t="n"/>
      <c r="F462" s="6" t="n"/>
      <c r="G462" s="7">
        <f>IF(A462="","",A462+(7-WEEKDAY(A462,2)))</f>
        <v/>
      </c>
      <c r="H462" s="6">
        <f>IF(OR(A462="",B462=""),"",SUMIFS($E$2:$E$1001,$A$2:$A$1001,A462,$B$2:$B$1001,B462))</f>
        <v/>
      </c>
    </row>
    <row r="463">
      <c r="A463" s="7" t="n"/>
      <c r="B463" s="6" t="n"/>
      <c r="C463" s="6" t="n"/>
      <c r="D463" s="6">
        <f>IF(C463="","",IFERROR(VLOOKUP(C463,Lists!$C:$D,2,FALSE),""))</f>
        <v/>
      </c>
      <c r="E463" s="6" t="n"/>
      <c r="F463" s="6" t="n"/>
      <c r="G463" s="7">
        <f>IF(A463="","",A463+(7-WEEKDAY(A463,2)))</f>
        <v/>
      </c>
      <c r="H463" s="6">
        <f>IF(OR(A463="",B463=""),"",SUMIFS($E$2:$E$1001,$A$2:$A$1001,A463,$B$2:$B$1001,B463))</f>
        <v/>
      </c>
    </row>
    <row r="464">
      <c r="A464" s="7" t="n"/>
      <c r="B464" s="6" t="n"/>
      <c r="C464" s="6" t="n"/>
      <c r="D464" s="6">
        <f>IF(C464="","",IFERROR(VLOOKUP(C464,Lists!$C:$D,2,FALSE),""))</f>
        <v/>
      </c>
      <c r="E464" s="6" t="n"/>
      <c r="F464" s="6" t="n"/>
      <c r="G464" s="7">
        <f>IF(A464="","",A464+(7-WEEKDAY(A464,2)))</f>
        <v/>
      </c>
      <c r="H464" s="6">
        <f>IF(OR(A464="",B464=""),"",SUMIFS($E$2:$E$1001,$A$2:$A$1001,A464,$B$2:$B$1001,B464))</f>
        <v/>
      </c>
    </row>
    <row r="465">
      <c r="A465" s="7" t="n"/>
      <c r="B465" s="6" t="n"/>
      <c r="C465" s="6" t="n"/>
      <c r="D465" s="6">
        <f>IF(C465="","",IFERROR(VLOOKUP(C465,Lists!$C:$D,2,FALSE),""))</f>
        <v/>
      </c>
      <c r="E465" s="6" t="n"/>
      <c r="F465" s="6" t="n"/>
      <c r="G465" s="7">
        <f>IF(A465="","",A465+(7-WEEKDAY(A465,2)))</f>
        <v/>
      </c>
      <c r="H465" s="6">
        <f>IF(OR(A465="",B465=""),"",SUMIFS($E$2:$E$1001,$A$2:$A$1001,A465,$B$2:$B$1001,B465))</f>
        <v/>
      </c>
    </row>
    <row r="466">
      <c r="A466" s="7" t="n"/>
      <c r="B466" s="6" t="n"/>
      <c r="C466" s="6" t="n"/>
      <c r="D466" s="6">
        <f>IF(C466="","",IFERROR(VLOOKUP(C466,Lists!$C:$D,2,FALSE),""))</f>
        <v/>
      </c>
      <c r="E466" s="6" t="n"/>
      <c r="F466" s="6" t="n"/>
      <c r="G466" s="7">
        <f>IF(A466="","",A466+(7-WEEKDAY(A466,2)))</f>
        <v/>
      </c>
      <c r="H466" s="6">
        <f>IF(OR(A466="",B466=""),"",SUMIFS($E$2:$E$1001,$A$2:$A$1001,A466,$B$2:$B$1001,B466))</f>
        <v/>
      </c>
    </row>
    <row r="467">
      <c r="A467" s="7" t="n"/>
      <c r="B467" s="6" t="n"/>
      <c r="C467" s="6" t="n"/>
      <c r="D467" s="6">
        <f>IF(C467="","",IFERROR(VLOOKUP(C467,Lists!$C:$D,2,FALSE),""))</f>
        <v/>
      </c>
      <c r="E467" s="6" t="n"/>
      <c r="F467" s="6" t="n"/>
      <c r="G467" s="7">
        <f>IF(A467="","",A467+(7-WEEKDAY(A467,2)))</f>
        <v/>
      </c>
      <c r="H467" s="6">
        <f>IF(OR(A467="",B467=""),"",SUMIFS($E$2:$E$1001,$A$2:$A$1001,A467,$B$2:$B$1001,B467))</f>
        <v/>
      </c>
    </row>
    <row r="468">
      <c r="A468" s="7" t="n"/>
      <c r="B468" s="6" t="n"/>
      <c r="C468" s="6" t="n"/>
      <c r="D468" s="6">
        <f>IF(C468="","",IFERROR(VLOOKUP(C468,Lists!$C:$D,2,FALSE),""))</f>
        <v/>
      </c>
      <c r="E468" s="6" t="n"/>
      <c r="F468" s="6" t="n"/>
      <c r="G468" s="7">
        <f>IF(A468="","",A468+(7-WEEKDAY(A468,2)))</f>
        <v/>
      </c>
      <c r="H468" s="6">
        <f>IF(OR(A468="",B468=""),"",SUMIFS($E$2:$E$1001,$A$2:$A$1001,A468,$B$2:$B$1001,B468))</f>
        <v/>
      </c>
    </row>
    <row r="469">
      <c r="A469" s="7" t="n"/>
      <c r="B469" s="6" t="n"/>
      <c r="C469" s="6" t="n"/>
      <c r="D469" s="6">
        <f>IF(C469="","",IFERROR(VLOOKUP(C469,Lists!$C:$D,2,FALSE),""))</f>
        <v/>
      </c>
      <c r="E469" s="6" t="n"/>
      <c r="F469" s="6" t="n"/>
      <c r="G469" s="7">
        <f>IF(A469="","",A469+(7-WEEKDAY(A469,2)))</f>
        <v/>
      </c>
      <c r="H469" s="6">
        <f>IF(OR(A469="",B469=""),"",SUMIFS($E$2:$E$1001,$A$2:$A$1001,A469,$B$2:$B$1001,B469))</f>
        <v/>
      </c>
    </row>
    <row r="470">
      <c r="A470" s="7" t="n"/>
      <c r="B470" s="6" t="n"/>
      <c r="C470" s="6" t="n"/>
      <c r="D470" s="6">
        <f>IF(C470="","",IFERROR(VLOOKUP(C470,Lists!$C:$D,2,FALSE),""))</f>
        <v/>
      </c>
      <c r="E470" s="6" t="n"/>
      <c r="F470" s="6" t="n"/>
      <c r="G470" s="7">
        <f>IF(A470="","",A470+(7-WEEKDAY(A470,2)))</f>
        <v/>
      </c>
      <c r="H470" s="6">
        <f>IF(OR(A470="",B470=""),"",SUMIFS($E$2:$E$1001,$A$2:$A$1001,A470,$B$2:$B$1001,B470))</f>
        <v/>
      </c>
    </row>
    <row r="471">
      <c r="A471" s="7" t="n"/>
      <c r="B471" s="6" t="n"/>
      <c r="C471" s="6" t="n"/>
      <c r="D471" s="6">
        <f>IF(C471="","",IFERROR(VLOOKUP(C471,Lists!$C:$D,2,FALSE),""))</f>
        <v/>
      </c>
      <c r="E471" s="6" t="n"/>
      <c r="F471" s="6" t="n"/>
      <c r="G471" s="7">
        <f>IF(A471="","",A471+(7-WEEKDAY(A471,2)))</f>
        <v/>
      </c>
      <c r="H471" s="6">
        <f>IF(OR(A471="",B471=""),"",SUMIFS($E$2:$E$1001,$A$2:$A$1001,A471,$B$2:$B$1001,B471))</f>
        <v/>
      </c>
    </row>
    <row r="472">
      <c r="A472" s="7" t="n"/>
      <c r="B472" s="6" t="n"/>
      <c r="C472" s="6" t="n"/>
      <c r="D472" s="6">
        <f>IF(C472="","",IFERROR(VLOOKUP(C472,Lists!$C:$D,2,FALSE),""))</f>
        <v/>
      </c>
      <c r="E472" s="6" t="n"/>
      <c r="F472" s="6" t="n"/>
      <c r="G472" s="7">
        <f>IF(A472="","",A472+(7-WEEKDAY(A472,2)))</f>
        <v/>
      </c>
      <c r="H472" s="6">
        <f>IF(OR(A472="",B472=""),"",SUMIFS($E$2:$E$1001,$A$2:$A$1001,A472,$B$2:$B$1001,B472))</f>
        <v/>
      </c>
    </row>
    <row r="473">
      <c r="A473" s="7" t="n"/>
      <c r="B473" s="6" t="n"/>
      <c r="C473" s="6" t="n"/>
      <c r="D473" s="6">
        <f>IF(C473="","",IFERROR(VLOOKUP(C473,Lists!$C:$D,2,FALSE),""))</f>
        <v/>
      </c>
      <c r="E473" s="6" t="n"/>
      <c r="F473" s="6" t="n"/>
      <c r="G473" s="7">
        <f>IF(A473="","",A473+(7-WEEKDAY(A473,2)))</f>
        <v/>
      </c>
      <c r="H473" s="6">
        <f>IF(OR(A473="",B473=""),"",SUMIFS($E$2:$E$1001,$A$2:$A$1001,A473,$B$2:$B$1001,B473))</f>
        <v/>
      </c>
    </row>
    <row r="474">
      <c r="A474" s="7" t="n"/>
      <c r="B474" s="6" t="n"/>
      <c r="C474" s="6" t="n"/>
      <c r="D474" s="6">
        <f>IF(C474="","",IFERROR(VLOOKUP(C474,Lists!$C:$D,2,FALSE),""))</f>
        <v/>
      </c>
      <c r="E474" s="6" t="n"/>
      <c r="F474" s="6" t="n"/>
      <c r="G474" s="7">
        <f>IF(A474="","",A474+(7-WEEKDAY(A474,2)))</f>
        <v/>
      </c>
      <c r="H474" s="6">
        <f>IF(OR(A474="",B474=""),"",SUMIFS($E$2:$E$1001,$A$2:$A$1001,A474,$B$2:$B$1001,B474))</f>
        <v/>
      </c>
    </row>
    <row r="475">
      <c r="A475" s="7" t="n"/>
      <c r="B475" s="6" t="n"/>
      <c r="C475" s="6" t="n"/>
      <c r="D475" s="6">
        <f>IF(C475="","",IFERROR(VLOOKUP(C475,Lists!$C:$D,2,FALSE),""))</f>
        <v/>
      </c>
      <c r="E475" s="6" t="n"/>
      <c r="F475" s="6" t="n"/>
      <c r="G475" s="7">
        <f>IF(A475="","",A475+(7-WEEKDAY(A475,2)))</f>
        <v/>
      </c>
      <c r="H475" s="6">
        <f>IF(OR(A475="",B475=""),"",SUMIFS($E$2:$E$1001,$A$2:$A$1001,A475,$B$2:$B$1001,B475))</f>
        <v/>
      </c>
    </row>
    <row r="476">
      <c r="A476" s="7" t="n"/>
      <c r="B476" s="6" t="n"/>
      <c r="C476" s="6" t="n"/>
      <c r="D476" s="6">
        <f>IF(C476="","",IFERROR(VLOOKUP(C476,Lists!$C:$D,2,FALSE),""))</f>
        <v/>
      </c>
      <c r="E476" s="6" t="n"/>
      <c r="F476" s="6" t="n"/>
      <c r="G476" s="7">
        <f>IF(A476="","",A476+(7-WEEKDAY(A476,2)))</f>
        <v/>
      </c>
      <c r="H476" s="6">
        <f>IF(OR(A476="",B476=""),"",SUMIFS($E$2:$E$1001,$A$2:$A$1001,A476,$B$2:$B$1001,B476))</f>
        <v/>
      </c>
    </row>
    <row r="477">
      <c r="A477" s="7" t="n"/>
      <c r="B477" s="6" t="n"/>
      <c r="C477" s="6" t="n"/>
      <c r="D477" s="6">
        <f>IF(C477="","",IFERROR(VLOOKUP(C477,Lists!$C:$D,2,FALSE),""))</f>
        <v/>
      </c>
      <c r="E477" s="6" t="n"/>
      <c r="F477" s="6" t="n"/>
      <c r="G477" s="7">
        <f>IF(A477="","",A477+(7-WEEKDAY(A477,2)))</f>
        <v/>
      </c>
      <c r="H477" s="6">
        <f>IF(OR(A477="",B477=""),"",SUMIFS($E$2:$E$1001,$A$2:$A$1001,A477,$B$2:$B$1001,B477))</f>
        <v/>
      </c>
    </row>
    <row r="478">
      <c r="A478" s="7" t="n"/>
      <c r="B478" s="6" t="n"/>
      <c r="C478" s="6" t="n"/>
      <c r="D478" s="6">
        <f>IF(C478="","",IFERROR(VLOOKUP(C478,Lists!$C:$D,2,FALSE),""))</f>
        <v/>
      </c>
      <c r="E478" s="6" t="n"/>
      <c r="F478" s="6" t="n"/>
      <c r="G478" s="7">
        <f>IF(A478="","",A478+(7-WEEKDAY(A478,2)))</f>
        <v/>
      </c>
      <c r="H478" s="6">
        <f>IF(OR(A478="",B478=""),"",SUMIFS($E$2:$E$1001,$A$2:$A$1001,A478,$B$2:$B$1001,B478))</f>
        <v/>
      </c>
    </row>
    <row r="479">
      <c r="A479" s="7" t="n"/>
      <c r="B479" s="6" t="n"/>
      <c r="C479" s="6" t="n"/>
      <c r="D479" s="6">
        <f>IF(C479="","",IFERROR(VLOOKUP(C479,Lists!$C:$D,2,FALSE),""))</f>
        <v/>
      </c>
      <c r="E479" s="6" t="n"/>
      <c r="F479" s="6" t="n"/>
      <c r="G479" s="7">
        <f>IF(A479="","",A479+(7-WEEKDAY(A479,2)))</f>
        <v/>
      </c>
      <c r="H479" s="6">
        <f>IF(OR(A479="",B479=""),"",SUMIFS($E$2:$E$1001,$A$2:$A$1001,A479,$B$2:$B$1001,B479))</f>
        <v/>
      </c>
    </row>
    <row r="480">
      <c r="A480" s="7" t="n"/>
      <c r="B480" s="6" t="n"/>
      <c r="C480" s="6" t="n"/>
      <c r="D480" s="6">
        <f>IF(C480="","",IFERROR(VLOOKUP(C480,Lists!$C:$D,2,FALSE),""))</f>
        <v/>
      </c>
      <c r="E480" s="6" t="n"/>
      <c r="F480" s="6" t="n"/>
      <c r="G480" s="7">
        <f>IF(A480="","",A480+(7-WEEKDAY(A480,2)))</f>
        <v/>
      </c>
      <c r="H480" s="6">
        <f>IF(OR(A480="",B480=""),"",SUMIFS($E$2:$E$1001,$A$2:$A$1001,A480,$B$2:$B$1001,B480))</f>
        <v/>
      </c>
    </row>
    <row r="481">
      <c r="A481" s="7" t="n"/>
      <c r="B481" s="6" t="n"/>
      <c r="C481" s="6" t="n"/>
      <c r="D481" s="6">
        <f>IF(C481="","",IFERROR(VLOOKUP(C481,Lists!$C:$D,2,FALSE),""))</f>
        <v/>
      </c>
      <c r="E481" s="6" t="n"/>
      <c r="F481" s="6" t="n"/>
      <c r="G481" s="7">
        <f>IF(A481="","",A481+(7-WEEKDAY(A481,2)))</f>
        <v/>
      </c>
      <c r="H481" s="6">
        <f>IF(OR(A481="",B481=""),"",SUMIFS($E$2:$E$1001,$A$2:$A$1001,A481,$B$2:$B$1001,B481))</f>
        <v/>
      </c>
    </row>
    <row r="482">
      <c r="A482" s="7" t="n"/>
      <c r="B482" s="6" t="n"/>
      <c r="C482" s="6" t="n"/>
      <c r="D482" s="6">
        <f>IF(C482="","",IFERROR(VLOOKUP(C482,Lists!$C:$D,2,FALSE),""))</f>
        <v/>
      </c>
      <c r="E482" s="6" t="n"/>
      <c r="F482" s="6" t="n"/>
      <c r="G482" s="7">
        <f>IF(A482="","",A482+(7-WEEKDAY(A482,2)))</f>
        <v/>
      </c>
      <c r="H482" s="6">
        <f>IF(OR(A482="",B482=""),"",SUMIFS($E$2:$E$1001,$A$2:$A$1001,A482,$B$2:$B$1001,B482))</f>
        <v/>
      </c>
    </row>
    <row r="483">
      <c r="A483" s="7" t="n"/>
      <c r="B483" s="6" t="n"/>
      <c r="C483" s="6" t="n"/>
      <c r="D483" s="6">
        <f>IF(C483="","",IFERROR(VLOOKUP(C483,Lists!$C:$D,2,FALSE),""))</f>
        <v/>
      </c>
      <c r="E483" s="6" t="n"/>
      <c r="F483" s="6" t="n"/>
      <c r="G483" s="7">
        <f>IF(A483="","",A483+(7-WEEKDAY(A483,2)))</f>
        <v/>
      </c>
      <c r="H483" s="6">
        <f>IF(OR(A483="",B483=""),"",SUMIFS($E$2:$E$1001,$A$2:$A$1001,A483,$B$2:$B$1001,B483))</f>
        <v/>
      </c>
    </row>
    <row r="484">
      <c r="A484" s="7" t="n"/>
      <c r="B484" s="6" t="n"/>
      <c r="C484" s="6" t="n"/>
      <c r="D484" s="6">
        <f>IF(C484="","",IFERROR(VLOOKUP(C484,Lists!$C:$D,2,FALSE),""))</f>
        <v/>
      </c>
      <c r="E484" s="6" t="n"/>
      <c r="F484" s="6" t="n"/>
      <c r="G484" s="7">
        <f>IF(A484="","",A484+(7-WEEKDAY(A484,2)))</f>
        <v/>
      </c>
      <c r="H484" s="6">
        <f>IF(OR(A484="",B484=""),"",SUMIFS($E$2:$E$1001,$A$2:$A$1001,A484,$B$2:$B$1001,B484))</f>
        <v/>
      </c>
    </row>
    <row r="485">
      <c r="A485" s="7" t="n"/>
      <c r="B485" s="6" t="n"/>
      <c r="C485" s="6" t="n"/>
      <c r="D485" s="6">
        <f>IF(C485="","",IFERROR(VLOOKUP(C485,Lists!$C:$D,2,FALSE),""))</f>
        <v/>
      </c>
      <c r="E485" s="6" t="n"/>
      <c r="F485" s="6" t="n"/>
      <c r="G485" s="7">
        <f>IF(A485="","",A485+(7-WEEKDAY(A485,2)))</f>
        <v/>
      </c>
      <c r="H485" s="6">
        <f>IF(OR(A485="",B485=""),"",SUMIFS($E$2:$E$1001,$A$2:$A$1001,A485,$B$2:$B$1001,B485))</f>
        <v/>
      </c>
    </row>
    <row r="486">
      <c r="A486" s="7" t="n"/>
      <c r="B486" s="6" t="n"/>
      <c r="C486" s="6" t="n"/>
      <c r="D486" s="6">
        <f>IF(C486="","",IFERROR(VLOOKUP(C486,Lists!$C:$D,2,FALSE),""))</f>
        <v/>
      </c>
      <c r="E486" s="6" t="n"/>
      <c r="F486" s="6" t="n"/>
      <c r="G486" s="7">
        <f>IF(A486="","",A486+(7-WEEKDAY(A486,2)))</f>
        <v/>
      </c>
      <c r="H486" s="6">
        <f>IF(OR(A486="",B486=""),"",SUMIFS($E$2:$E$1001,$A$2:$A$1001,A486,$B$2:$B$1001,B486))</f>
        <v/>
      </c>
    </row>
    <row r="487">
      <c r="A487" s="7" t="n"/>
      <c r="B487" s="6" t="n"/>
      <c r="C487" s="6" t="n"/>
      <c r="D487" s="6">
        <f>IF(C487="","",IFERROR(VLOOKUP(C487,Lists!$C:$D,2,FALSE),""))</f>
        <v/>
      </c>
      <c r="E487" s="6" t="n"/>
      <c r="F487" s="6" t="n"/>
      <c r="G487" s="7">
        <f>IF(A487="","",A487+(7-WEEKDAY(A487,2)))</f>
        <v/>
      </c>
      <c r="H487" s="6">
        <f>IF(OR(A487="",B487=""),"",SUMIFS($E$2:$E$1001,$A$2:$A$1001,A487,$B$2:$B$1001,B487))</f>
        <v/>
      </c>
    </row>
    <row r="488">
      <c r="A488" s="7" t="n"/>
      <c r="B488" s="6" t="n"/>
      <c r="C488" s="6" t="n"/>
      <c r="D488" s="6">
        <f>IF(C488="","",IFERROR(VLOOKUP(C488,Lists!$C:$D,2,FALSE),""))</f>
        <v/>
      </c>
      <c r="E488" s="6" t="n"/>
      <c r="F488" s="6" t="n"/>
      <c r="G488" s="7">
        <f>IF(A488="","",A488+(7-WEEKDAY(A488,2)))</f>
        <v/>
      </c>
      <c r="H488" s="6">
        <f>IF(OR(A488="",B488=""),"",SUMIFS($E$2:$E$1001,$A$2:$A$1001,A488,$B$2:$B$1001,B488))</f>
        <v/>
      </c>
    </row>
    <row r="489">
      <c r="A489" s="7" t="n"/>
      <c r="B489" s="6" t="n"/>
      <c r="C489" s="6" t="n"/>
      <c r="D489" s="6">
        <f>IF(C489="","",IFERROR(VLOOKUP(C489,Lists!$C:$D,2,FALSE),""))</f>
        <v/>
      </c>
      <c r="E489" s="6" t="n"/>
      <c r="F489" s="6" t="n"/>
      <c r="G489" s="7">
        <f>IF(A489="","",A489+(7-WEEKDAY(A489,2)))</f>
        <v/>
      </c>
      <c r="H489" s="6">
        <f>IF(OR(A489="",B489=""),"",SUMIFS($E$2:$E$1001,$A$2:$A$1001,A489,$B$2:$B$1001,B489))</f>
        <v/>
      </c>
    </row>
    <row r="490">
      <c r="A490" s="7" t="n"/>
      <c r="B490" s="6" t="n"/>
      <c r="C490" s="6" t="n"/>
      <c r="D490" s="6">
        <f>IF(C490="","",IFERROR(VLOOKUP(C490,Lists!$C:$D,2,FALSE),""))</f>
        <v/>
      </c>
      <c r="E490" s="6" t="n"/>
      <c r="F490" s="6" t="n"/>
      <c r="G490" s="7">
        <f>IF(A490="","",A490+(7-WEEKDAY(A490,2)))</f>
        <v/>
      </c>
      <c r="H490" s="6">
        <f>IF(OR(A490="",B490=""),"",SUMIFS($E$2:$E$1001,$A$2:$A$1001,A490,$B$2:$B$1001,B490))</f>
        <v/>
      </c>
    </row>
    <row r="491">
      <c r="A491" s="7" t="n"/>
      <c r="B491" s="6" t="n"/>
      <c r="C491" s="6" t="n"/>
      <c r="D491" s="6">
        <f>IF(C491="","",IFERROR(VLOOKUP(C491,Lists!$C:$D,2,FALSE),""))</f>
        <v/>
      </c>
      <c r="E491" s="6" t="n"/>
      <c r="F491" s="6" t="n"/>
      <c r="G491" s="7">
        <f>IF(A491="","",A491+(7-WEEKDAY(A491,2)))</f>
        <v/>
      </c>
      <c r="H491" s="6">
        <f>IF(OR(A491="",B491=""),"",SUMIFS($E$2:$E$1001,$A$2:$A$1001,A491,$B$2:$B$1001,B491))</f>
        <v/>
      </c>
    </row>
    <row r="492">
      <c r="A492" s="7" t="n"/>
      <c r="B492" s="6" t="n"/>
      <c r="C492" s="6" t="n"/>
      <c r="D492" s="6">
        <f>IF(C492="","",IFERROR(VLOOKUP(C492,Lists!$C:$D,2,FALSE),""))</f>
        <v/>
      </c>
      <c r="E492" s="6" t="n"/>
      <c r="F492" s="6" t="n"/>
      <c r="G492" s="7">
        <f>IF(A492="","",A492+(7-WEEKDAY(A492,2)))</f>
        <v/>
      </c>
      <c r="H492" s="6">
        <f>IF(OR(A492="",B492=""),"",SUMIFS($E$2:$E$1001,$A$2:$A$1001,A492,$B$2:$B$1001,B492))</f>
        <v/>
      </c>
    </row>
    <row r="493">
      <c r="A493" s="7" t="n"/>
      <c r="B493" s="6" t="n"/>
      <c r="C493" s="6" t="n"/>
      <c r="D493" s="6">
        <f>IF(C493="","",IFERROR(VLOOKUP(C493,Lists!$C:$D,2,FALSE),""))</f>
        <v/>
      </c>
      <c r="E493" s="6" t="n"/>
      <c r="F493" s="6" t="n"/>
      <c r="G493" s="7">
        <f>IF(A493="","",A493+(7-WEEKDAY(A493,2)))</f>
        <v/>
      </c>
      <c r="H493" s="6">
        <f>IF(OR(A493="",B493=""),"",SUMIFS($E$2:$E$1001,$A$2:$A$1001,A493,$B$2:$B$1001,B493))</f>
        <v/>
      </c>
    </row>
    <row r="494">
      <c r="A494" s="7" t="n"/>
      <c r="B494" s="6" t="n"/>
      <c r="C494" s="6" t="n"/>
      <c r="D494" s="6">
        <f>IF(C494="","",IFERROR(VLOOKUP(C494,Lists!$C:$D,2,FALSE),""))</f>
        <v/>
      </c>
      <c r="E494" s="6" t="n"/>
      <c r="F494" s="6" t="n"/>
      <c r="G494" s="7">
        <f>IF(A494="","",A494+(7-WEEKDAY(A494,2)))</f>
        <v/>
      </c>
      <c r="H494" s="6">
        <f>IF(OR(A494="",B494=""),"",SUMIFS($E$2:$E$1001,$A$2:$A$1001,A494,$B$2:$B$1001,B494))</f>
        <v/>
      </c>
    </row>
    <row r="495">
      <c r="A495" s="7" t="n"/>
      <c r="B495" s="6" t="n"/>
      <c r="C495" s="6" t="n"/>
      <c r="D495" s="6">
        <f>IF(C495="","",IFERROR(VLOOKUP(C495,Lists!$C:$D,2,FALSE),""))</f>
        <v/>
      </c>
      <c r="E495" s="6" t="n"/>
      <c r="F495" s="6" t="n"/>
      <c r="G495" s="7">
        <f>IF(A495="","",A495+(7-WEEKDAY(A495,2)))</f>
        <v/>
      </c>
      <c r="H495" s="6">
        <f>IF(OR(A495="",B495=""),"",SUMIFS($E$2:$E$1001,$A$2:$A$1001,A495,$B$2:$B$1001,B495))</f>
        <v/>
      </c>
    </row>
    <row r="496">
      <c r="A496" s="7" t="n"/>
      <c r="B496" s="6" t="n"/>
      <c r="C496" s="6" t="n"/>
      <c r="D496" s="6">
        <f>IF(C496="","",IFERROR(VLOOKUP(C496,Lists!$C:$D,2,FALSE),""))</f>
        <v/>
      </c>
      <c r="E496" s="6" t="n"/>
      <c r="F496" s="6" t="n"/>
      <c r="G496" s="7">
        <f>IF(A496="","",A496+(7-WEEKDAY(A496,2)))</f>
        <v/>
      </c>
      <c r="H496" s="6">
        <f>IF(OR(A496="",B496=""),"",SUMIFS($E$2:$E$1001,$A$2:$A$1001,A496,$B$2:$B$1001,B496))</f>
        <v/>
      </c>
    </row>
    <row r="497">
      <c r="A497" s="7" t="n"/>
      <c r="B497" s="6" t="n"/>
      <c r="C497" s="6" t="n"/>
      <c r="D497" s="6">
        <f>IF(C497="","",IFERROR(VLOOKUP(C497,Lists!$C:$D,2,FALSE),""))</f>
        <v/>
      </c>
      <c r="E497" s="6" t="n"/>
      <c r="F497" s="6" t="n"/>
      <c r="G497" s="7">
        <f>IF(A497="","",A497+(7-WEEKDAY(A497,2)))</f>
        <v/>
      </c>
      <c r="H497" s="6">
        <f>IF(OR(A497="",B497=""),"",SUMIFS($E$2:$E$1001,$A$2:$A$1001,A497,$B$2:$B$1001,B497))</f>
        <v/>
      </c>
    </row>
    <row r="498">
      <c r="A498" s="7" t="n"/>
      <c r="B498" s="6" t="n"/>
      <c r="C498" s="6" t="n"/>
      <c r="D498" s="6">
        <f>IF(C498="","",IFERROR(VLOOKUP(C498,Lists!$C:$D,2,FALSE),""))</f>
        <v/>
      </c>
      <c r="E498" s="6" t="n"/>
      <c r="F498" s="6" t="n"/>
      <c r="G498" s="7">
        <f>IF(A498="","",A498+(7-WEEKDAY(A498,2)))</f>
        <v/>
      </c>
      <c r="H498" s="6">
        <f>IF(OR(A498="",B498=""),"",SUMIFS($E$2:$E$1001,$A$2:$A$1001,A498,$B$2:$B$1001,B498))</f>
        <v/>
      </c>
    </row>
    <row r="499">
      <c r="A499" s="7" t="n"/>
      <c r="B499" s="6" t="n"/>
      <c r="C499" s="6" t="n"/>
      <c r="D499" s="6">
        <f>IF(C499="","",IFERROR(VLOOKUP(C499,Lists!$C:$D,2,FALSE),""))</f>
        <v/>
      </c>
      <c r="E499" s="6" t="n"/>
      <c r="F499" s="6" t="n"/>
      <c r="G499" s="7">
        <f>IF(A499="","",A499+(7-WEEKDAY(A499,2)))</f>
        <v/>
      </c>
      <c r="H499" s="6">
        <f>IF(OR(A499="",B499=""),"",SUMIFS($E$2:$E$1001,$A$2:$A$1001,A499,$B$2:$B$1001,B499))</f>
        <v/>
      </c>
    </row>
    <row r="500">
      <c r="A500" s="7" t="n"/>
      <c r="B500" s="6" t="n"/>
      <c r="C500" s="6" t="n"/>
      <c r="D500" s="6">
        <f>IF(C500="","",IFERROR(VLOOKUP(C500,Lists!$C:$D,2,FALSE),""))</f>
        <v/>
      </c>
      <c r="E500" s="6" t="n"/>
      <c r="F500" s="6" t="n"/>
      <c r="G500" s="7">
        <f>IF(A500="","",A500+(7-WEEKDAY(A500,2)))</f>
        <v/>
      </c>
      <c r="H500" s="6">
        <f>IF(OR(A500="",B500=""),"",SUMIFS($E$2:$E$1001,$A$2:$A$1001,A500,$B$2:$B$1001,B500))</f>
        <v/>
      </c>
    </row>
    <row r="501">
      <c r="A501" s="7" t="n"/>
      <c r="B501" s="6" t="n"/>
      <c r="C501" s="6" t="n"/>
      <c r="D501" s="6">
        <f>IF(C501="","",IFERROR(VLOOKUP(C501,Lists!$C:$D,2,FALSE),""))</f>
        <v/>
      </c>
      <c r="E501" s="6" t="n"/>
      <c r="F501" s="6" t="n"/>
      <c r="G501" s="7">
        <f>IF(A501="","",A501+(7-WEEKDAY(A501,2)))</f>
        <v/>
      </c>
      <c r="H501" s="6">
        <f>IF(OR(A501="",B501=""),"",SUMIFS($E$2:$E$1001,$A$2:$A$1001,A501,$B$2:$B$1001,B501))</f>
        <v/>
      </c>
    </row>
    <row r="502">
      <c r="A502" s="7" t="n"/>
      <c r="B502" s="6" t="n"/>
      <c r="C502" s="6" t="n"/>
      <c r="D502" s="6">
        <f>IF(C502="","",IFERROR(VLOOKUP(C502,Lists!$C:$D,2,FALSE),""))</f>
        <v/>
      </c>
      <c r="E502" s="6" t="n"/>
      <c r="F502" s="6" t="n"/>
      <c r="G502" s="7">
        <f>IF(A502="","",A502+(7-WEEKDAY(A502,2)))</f>
        <v/>
      </c>
      <c r="H502" s="6">
        <f>IF(OR(A502="",B502=""),"",SUMIFS($E$2:$E$1001,$A$2:$A$1001,A502,$B$2:$B$1001,B502))</f>
        <v/>
      </c>
    </row>
    <row r="503">
      <c r="A503" s="7" t="n"/>
      <c r="B503" s="6" t="n"/>
      <c r="C503" s="6" t="n"/>
      <c r="D503" s="6">
        <f>IF(C503="","",IFERROR(VLOOKUP(C503,Lists!$C:$D,2,FALSE),""))</f>
        <v/>
      </c>
      <c r="E503" s="6" t="n"/>
      <c r="F503" s="6" t="n"/>
      <c r="G503" s="7">
        <f>IF(A503="","",A503+(7-WEEKDAY(A503,2)))</f>
        <v/>
      </c>
      <c r="H503" s="6">
        <f>IF(OR(A503="",B503=""),"",SUMIFS($E$2:$E$1001,$A$2:$A$1001,A503,$B$2:$B$1001,B503))</f>
        <v/>
      </c>
    </row>
    <row r="504">
      <c r="A504" s="7" t="n"/>
      <c r="B504" s="6" t="n"/>
      <c r="C504" s="6" t="n"/>
      <c r="D504" s="6">
        <f>IF(C504="","",IFERROR(VLOOKUP(C504,Lists!$C:$D,2,FALSE),""))</f>
        <v/>
      </c>
      <c r="E504" s="6" t="n"/>
      <c r="F504" s="6" t="n"/>
      <c r="G504" s="7">
        <f>IF(A504="","",A504+(7-WEEKDAY(A504,2)))</f>
        <v/>
      </c>
      <c r="H504" s="6">
        <f>IF(OR(A504="",B504=""),"",SUMIFS($E$2:$E$1001,$A$2:$A$1001,A504,$B$2:$B$1001,B504))</f>
        <v/>
      </c>
    </row>
    <row r="505">
      <c r="A505" s="7" t="n"/>
      <c r="B505" s="6" t="n"/>
      <c r="C505" s="6" t="n"/>
      <c r="D505" s="6">
        <f>IF(C505="","",IFERROR(VLOOKUP(C505,Lists!$C:$D,2,FALSE),""))</f>
        <v/>
      </c>
      <c r="E505" s="6" t="n"/>
      <c r="F505" s="6" t="n"/>
      <c r="G505" s="7">
        <f>IF(A505="","",A505+(7-WEEKDAY(A505,2)))</f>
        <v/>
      </c>
      <c r="H505" s="6">
        <f>IF(OR(A505="",B505=""),"",SUMIFS($E$2:$E$1001,$A$2:$A$1001,A505,$B$2:$B$1001,B505))</f>
        <v/>
      </c>
    </row>
    <row r="506">
      <c r="A506" s="7" t="n"/>
      <c r="B506" s="6" t="n"/>
      <c r="C506" s="6" t="n"/>
      <c r="D506" s="6">
        <f>IF(C506="","",IFERROR(VLOOKUP(C506,Lists!$C:$D,2,FALSE),""))</f>
        <v/>
      </c>
      <c r="E506" s="6" t="n"/>
      <c r="F506" s="6" t="n"/>
      <c r="G506" s="7">
        <f>IF(A506="","",A506+(7-WEEKDAY(A506,2)))</f>
        <v/>
      </c>
      <c r="H506" s="6">
        <f>IF(OR(A506="",B506=""),"",SUMIFS($E$2:$E$1001,$A$2:$A$1001,A506,$B$2:$B$1001,B506))</f>
        <v/>
      </c>
    </row>
    <row r="507">
      <c r="A507" s="7" t="n"/>
      <c r="B507" s="6" t="n"/>
      <c r="C507" s="6" t="n"/>
      <c r="D507" s="6">
        <f>IF(C507="","",IFERROR(VLOOKUP(C507,Lists!$C:$D,2,FALSE),""))</f>
        <v/>
      </c>
      <c r="E507" s="6" t="n"/>
      <c r="F507" s="6" t="n"/>
      <c r="G507" s="7">
        <f>IF(A507="","",A507+(7-WEEKDAY(A507,2)))</f>
        <v/>
      </c>
      <c r="H507" s="6">
        <f>IF(OR(A507="",B507=""),"",SUMIFS($E$2:$E$1001,$A$2:$A$1001,A507,$B$2:$B$1001,B507))</f>
        <v/>
      </c>
    </row>
    <row r="508">
      <c r="A508" s="7" t="n"/>
      <c r="B508" s="6" t="n"/>
      <c r="C508" s="6" t="n"/>
      <c r="D508" s="6">
        <f>IF(C508="","",IFERROR(VLOOKUP(C508,Lists!$C:$D,2,FALSE),""))</f>
        <v/>
      </c>
      <c r="E508" s="6" t="n"/>
      <c r="F508" s="6" t="n"/>
      <c r="G508" s="7">
        <f>IF(A508="","",A508+(7-WEEKDAY(A508,2)))</f>
        <v/>
      </c>
      <c r="H508" s="6">
        <f>IF(OR(A508="",B508=""),"",SUMIFS($E$2:$E$1001,$A$2:$A$1001,A508,$B$2:$B$1001,B508))</f>
        <v/>
      </c>
    </row>
    <row r="509">
      <c r="A509" s="7" t="n"/>
      <c r="B509" s="6" t="n"/>
      <c r="C509" s="6" t="n"/>
      <c r="D509" s="6">
        <f>IF(C509="","",IFERROR(VLOOKUP(C509,Lists!$C:$D,2,FALSE),""))</f>
        <v/>
      </c>
      <c r="E509" s="6" t="n"/>
      <c r="F509" s="6" t="n"/>
      <c r="G509" s="7">
        <f>IF(A509="","",A509+(7-WEEKDAY(A509,2)))</f>
        <v/>
      </c>
      <c r="H509" s="6">
        <f>IF(OR(A509="",B509=""),"",SUMIFS($E$2:$E$1001,$A$2:$A$1001,A509,$B$2:$B$1001,B509))</f>
        <v/>
      </c>
    </row>
    <row r="510">
      <c r="A510" s="7" t="n"/>
      <c r="B510" s="6" t="n"/>
      <c r="C510" s="6" t="n"/>
      <c r="D510" s="6">
        <f>IF(C510="","",IFERROR(VLOOKUP(C510,Lists!$C:$D,2,FALSE),""))</f>
        <v/>
      </c>
      <c r="E510" s="6" t="n"/>
      <c r="F510" s="6" t="n"/>
      <c r="G510" s="7">
        <f>IF(A510="","",A510+(7-WEEKDAY(A510,2)))</f>
        <v/>
      </c>
      <c r="H510" s="6">
        <f>IF(OR(A510="",B510=""),"",SUMIFS($E$2:$E$1001,$A$2:$A$1001,A510,$B$2:$B$1001,B510))</f>
        <v/>
      </c>
    </row>
    <row r="511">
      <c r="A511" s="7" t="n"/>
      <c r="B511" s="6" t="n"/>
      <c r="C511" s="6" t="n"/>
      <c r="D511" s="6">
        <f>IF(C511="","",IFERROR(VLOOKUP(C511,Lists!$C:$D,2,FALSE),""))</f>
        <v/>
      </c>
      <c r="E511" s="6" t="n"/>
      <c r="F511" s="6" t="n"/>
      <c r="G511" s="7">
        <f>IF(A511="","",A511+(7-WEEKDAY(A511,2)))</f>
        <v/>
      </c>
      <c r="H511" s="6">
        <f>IF(OR(A511="",B511=""),"",SUMIFS($E$2:$E$1001,$A$2:$A$1001,A511,$B$2:$B$1001,B511))</f>
        <v/>
      </c>
    </row>
    <row r="512">
      <c r="A512" s="7" t="n"/>
      <c r="B512" s="6" t="n"/>
      <c r="C512" s="6" t="n"/>
      <c r="D512" s="6">
        <f>IF(C512="","",IFERROR(VLOOKUP(C512,Lists!$C:$D,2,FALSE),""))</f>
        <v/>
      </c>
      <c r="E512" s="6" t="n"/>
      <c r="F512" s="6" t="n"/>
      <c r="G512" s="7">
        <f>IF(A512="","",A512+(7-WEEKDAY(A512,2)))</f>
        <v/>
      </c>
      <c r="H512" s="6">
        <f>IF(OR(A512="",B512=""),"",SUMIFS($E$2:$E$1001,$A$2:$A$1001,A512,$B$2:$B$1001,B512))</f>
        <v/>
      </c>
    </row>
    <row r="513">
      <c r="A513" s="7" t="n"/>
      <c r="B513" s="6" t="n"/>
      <c r="C513" s="6" t="n"/>
      <c r="D513" s="6">
        <f>IF(C513="","",IFERROR(VLOOKUP(C513,Lists!$C:$D,2,FALSE),""))</f>
        <v/>
      </c>
      <c r="E513" s="6" t="n"/>
      <c r="F513" s="6" t="n"/>
      <c r="G513" s="7">
        <f>IF(A513="","",A513+(7-WEEKDAY(A513,2)))</f>
        <v/>
      </c>
      <c r="H513" s="6">
        <f>IF(OR(A513="",B513=""),"",SUMIFS($E$2:$E$1001,$A$2:$A$1001,A513,$B$2:$B$1001,B513))</f>
        <v/>
      </c>
    </row>
    <row r="514">
      <c r="A514" s="7" t="n"/>
      <c r="B514" s="6" t="n"/>
      <c r="C514" s="6" t="n"/>
      <c r="D514" s="6">
        <f>IF(C514="","",IFERROR(VLOOKUP(C514,Lists!$C:$D,2,FALSE),""))</f>
        <v/>
      </c>
      <c r="E514" s="6" t="n"/>
      <c r="F514" s="6" t="n"/>
      <c r="G514" s="7">
        <f>IF(A514="","",A514+(7-WEEKDAY(A514,2)))</f>
        <v/>
      </c>
      <c r="H514" s="6">
        <f>IF(OR(A514="",B514=""),"",SUMIFS($E$2:$E$1001,$A$2:$A$1001,A514,$B$2:$B$1001,B514))</f>
        <v/>
      </c>
    </row>
    <row r="515">
      <c r="A515" s="7" t="n"/>
      <c r="B515" s="6" t="n"/>
      <c r="C515" s="6" t="n"/>
      <c r="D515" s="6">
        <f>IF(C515="","",IFERROR(VLOOKUP(C515,Lists!$C:$D,2,FALSE),""))</f>
        <v/>
      </c>
      <c r="E515" s="6" t="n"/>
      <c r="F515" s="6" t="n"/>
      <c r="G515" s="7">
        <f>IF(A515="","",A515+(7-WEEKDAY(A515,2)))</f>
        <v/>
      </c>
      <c r="H515" s="6">
        <f>IF(OR(A515="",B515=""),"",SUMIFS($E$2:$E$1001,$A$2:$A$1001,A515,$B$2:$B$1001,B515))</f>
        <v/>
      </c>
    </row>
    <row r="516">
      <c r="A516" s="7" t="n"/>
      <c r="B516" s="6" t="n"/>
      <c r="C516" s="6" t="n"/>
      <c r="D516" s="6">
        <f>IF(C516="","",IFERROR(VLOOKUP(C516,Lists!$C:$D,2,FALSE),""))</f>
        <v/>
      </c>
      <c r="E516" s="6" t="n"/>
      <c r="F516" s="6" t="n"/>
      <c r="G516" s="7">
        <f>IF(A516="","",A516+(7-WEEKDAY(A516,2)))</f>
        <v/>
      </c>
      <c r="H516" s="6">
        <f>IF(OR(A516="",B516=""),"",SUMIFS($E$2:$E$1001,$A$2:$A$1001,A516,$B$2:$B$1001,B516))</f>
        <v/>
      </c>
    </row>
    <row r="517">
      <c r="A517" s="7" t="n"/>
      <c r="B517" s="6" t="n"/>
      <c r="C517" s="6" t="n"/>
      <c r="D517" s="6">
        <f>IF(C517="","",IFERROR(VLOOKUP(C517,Lists!$C:$D,2,FALSE),""))</f>
        <v/>
      </c>
      <c r="E517" s="6" t="n"/>
      <c r="F517" s="6" t="n"/>
      <c r="G517" s="7">
        <f>IF(A517="","",A517+(7-WEEKDAY(A517,2)))</f>
        <v/>
      </c>
      <c r="H517" s="6">
        <f>IF(OR(A517="",B517=""),"",SUMIFS($E$2:$E$1001,$A$2:$A$1001,A517,$B$2:$B$1001,B517))</f>
        <v/>
      </c>
    </row>
    <row r="518">
      <c r="A518" s="7" t="n"/>
      <c r="B518" s="6" t="n"/>
      <c r="C518" s="6" t="n"/>
      <c r="D518" s="6">
        <f>IF(C518="","",IFERROR(VLOOKUP(C518,Lists!$C:$D,2,FALSE),""))</f>
        <v/>
      </c>
      <c r="E518" s="6" t="n"/>
      <c r="F518" s="6" t="n"/>
      <c r="G518" s="7">
        <f>IF(A518="","",A518+(7-WEEKDAY(A518,2)))</f>
        <v/>
      </c>
      <c r="H518" s="6">
        <f>IF(OR(A518="",B518=""),"",SUMIFS($E$2:$E$1001,$A$2:$A$1001,A518,$B$2:$B$1001,B518))</f>
        <v/>
      </c>
    </row>
    <row r="519">
      <c r="A519" s="7" t="n"/>
      <c r="B519" s="6" t="n"/>
      <c r="C519" s="6" t="n"/>
      <c r="D519" s="6">
        <f>IF(C519="","",IFERROR(VLOOKUP(C519,Lists!$C:$D,2,FALSE),""))</f>
        <v/>
      </c>
      <c r="E519" s="6" t="n"/>
      <c r="F519" s="6" t="n"/>
      <c r="G519" s="7">
        <f>IF(A519="","",A519+(7-WEEKDAY(A519,2)))</f>
        <v/>
      </c>
      <c r="H519" s="6">
        <f>IF(OR(A519="",B519=""),"",SUMIFS($E$2:$E$1001,$A$2:$A$1001,A519,$B$2:$B$1001,B519))</f>
        <v/>
      </c>
    </row>
    <row r="520">
      <c r="A520" s="7" t="n"/>
      <c r="B520" s="6" t="n"/>
      <c r="C520" s="6" t="n"/>
      <c r="D520" s="6">
        <f>IF(C520="","",IFERROR(VLOOKUP(C520,Lists!$C:$D,2,FALSE),""))</f>
        <v/>
      </c>
      <c r="E520" s="6" t="n"/>
      <c r="F520" s="6" t="n"/>
      <c r="G520" s="7">
        <f>IF(A520="","",A520+(7-WEEKDAY(A520,2)))</f>
        <v/>
      </c>
      <c r="H520" s="6">
        <f>IF(OR(A520="",B520=""),"",SUMIFS($E$2:$E$1001,$A$2:$A$1001,A520,$B$2:$B$1001,B520))</f>
        <v/>
      </c>
    </row>
    <row r="521">
      <c r="A521" s="7" t="n"/>
      <c r="B521" s="6" t="n"/>
      <c r="C521" s="6" t="n"/>
      <c r="D521" s="6">
        <f>IF(C521="","",IFERROR(VLOOKUP(C521,Lists!$C:$D,2,FALSE),""))</f>
        <v/>
      </c>
      <c r="E521" s="6" t="n"/>
      <c r="F521" s="6" t="n"/>
      <c r="G521" s="7">
        <f>IF(A521="","",A521+(7-WEEKDAY(A521,2)))</f>
        <v/>
      </c>
      <c r="H521" s="6">
        <f>IF(OR(A521="",B521=""),"",SUMIFS($E$2:$E$1001,$A$2:$A$1001,A521,$B$2:$B$1001,B521))</f>
        <v/>
      </c>
    </row>
    <row r="522">
      <c r="A522" s="7" t="n"/>
      <c r="B522" s="6" t="n"/>
      <c r="C522" s="6" t="n"/>
      <c r="D522" s="6">
        <f>IF(C522="","",IFERROR(VLOOKUP(C522,Lists!$C:$D,2,FALSE),""))</f>
        <v/>
      </c>
      <c r="E522" s="6" t="n"/>
      <c r="F522" s="6" t="n"/>
      <c r="G522" s="7">
        <f>IF(A522="","",A522+(7-WEEKDAY(A522,2)))</f>
        <v/>
      </c>
      <c r="H522" s="6">
        <f>IF(OR(A522="",B522=""),"",SUMIFS($E$2:$E$1001,$A$2:$A$1001,A522,$B$2:$B$1001,B522))</f>
        <v/>
      </c>
    </row>
    <row r="523">
      <c r="A523" s="7" t="n"/>
      <c r="B523" s="6" t="n"/>
      <c r="C523" s="6" t="n"/>
      <c r="D523" s="6">
        <f>IF(C523="","",IFERROR(VLOOKUP(C523,Lists!$C:$D,2,FALSE),""))</f>
        <v/>
      </c>
      <c r="E523" s="6" t="n"/>
      <c r="F523" s="6" t="n"/>
      <c r="G523" s="7">
        <f>IF(A523="","",A523+(7-WEEKDAY(A523,2)))</f>
        <v/>
      </c>
      <c r="H523" s="6">
        <f>IF(OR(A523="",B523=""),"",SUMIFS($E$2:$E$1001,$A$2:$A$1001,A523,$B$2:$B$1001,B523))</f>
        <v/>
      </c>
    </row>
    <row r="524">
      <c r="A524" s="7" t="n"/>
      <c r="B524" s="6" t="n"/>
      <c r="C524" s="6" t="n"/>
      <c r="D524" s="6">
        <f>IF(C524="","",IFERROR(VLOOKUP(C524,Lists!$C:$D,2,FALSE),""))</f>
        <v/>
      </c>
      <c r="E524" s="6" t="n"/>
      <c r="F524" s="6" t="n"/>
      <c r="G524" s="7">
        <f>IF(A524="","",A524+(7-WEEKDAY(A524,2)))</f>
        <v/>
      </c>
      <c r="H524" s="6">
        <f>IF(OR(A524="",B524=""),"",SUMIFS($E$2:$E$1001,$A$2:$A$1001,A524,$B$2:$B$1001,B524))</f>
        <v/>
      </c>
    </row>
    <row r="525">
      <c r="A525" s="7" t="n"/>
      <c r="B525" s="6" t="n"/>
      <c r="C525" s="6" t="n"/>
      <c r="D525" s="6">
        <f>IF(C525="","",IFERROR(VLOOKUP(C525,Lists!$C:$D,2,FALSE),""))</f>
        <v/>
      </c>
      <c r="E525" s="6" t="n"/>
      <c r="F525" s="6" t="n"/>
      <c r="G525" s="7">
        <f>IF(A525="","",A525+(7-WEEKDAY(A525,2)))</f>
        <v/>
      </c>
      <c r="H525" s="6">
        <f>IF(OR(A525="",B525=""),"",SUMIFS($E$2:$E$1001,$A$2:$A$1001,A525,$B$2:$B$1001,B525))</f>
        <v/>
      </c>
    </row>
    <row r="526">
      <c r="A526" s="7" t="n"/>
      <c r="B526" s="6" t="n"/>
      <c r="C526" s="6" t="n"/>
      <c r="D526" s="6">
        <f>IF(C526="","",IFERROR(VLOOKUP(C526,Lists!$C:$D,2,FALSE),""))</f>
        <v/>
      </c>
      <c r="E526" s="6" t="n"/>
      <c r="F526" s="6" t="n"/>
      <c r="G526" s="7">
        <f>IF(A526="","",A526+(7-WEEKDAY(A526,2)))</f>
        <v/>
      </c>
      <c r="H526" s="6">
        <f>IF(OR(A526="",B526=""),"",SUMIFS($E$2:$E$1001,$A$2:$A$1001,A526,$B$2:$B$1001,B526))</f>
        <v/>
      </c>
    </row>
    <row r="527">
      <c r="A527" s="7" t="n"/>
      <c r="B527" s="6" t="n"/>
      <c r="C527" s="6" t="n"/>
      <c r="D527" s="6">
        <f>IF(C527="","",IFERROR(VLOOKUP(C527,Lists!$C:$D,2,FALSE),""))</f>
        <v/>
      </c>
      <c r="E527" s="6" t="n"/>
      <c r="F527" s="6" t="n"/>
      <c r="G527" s="7">
        <f>IF(A527="","",A527+(7-WEEKDAY(A527,2)))</f>
        <v/>
      </c>
      <c r="H527" s="6">
        <f>IF(OR(A527="",B527=""),"",SUMIFS($E$2:$E$1001,$A$2:$A$1001,A527,$B$2:$B$1001,B527))</f>
        <v/>
      </c>
    </row>
    <row r="528">
      <c r="A528" s="7" t="n"/>
      <c r="B528" s="6" t="n"/>
      <c r="C528" s="6" t="n"/>
      <c r="D528" s="6">
        <f>IF(C528="","",IFERROR(VLOOKUP(C528,Lists!$C:$D,2,FALSE),""))</f>
        <v/>
      </c>
      <c r="E528" s="6" t="n"/>
      <c r="F528" s="6" t="n"/>
      <c r="G528" s="7">
        <f>IF(A528="","",A528+(7-WEEKDAY(A528,2)))</f>
        <v/>
      </c>
      <c r="H528" s="6">
        <f>IF(OR(A528="",B528=""),"",SUMIFS($E$2:$E$1001,$A$2:$A$1001,A528,$B$2:$B$1001,B528))</f>
        <v/>
      </c>
    </row>
    <row r="529">
      <c r="A529" s="7" t="n"/>
      <c r="B529" s="6" t="n"/>
      <c r="C529" s="6" t="n"/>
      <c r="D529" s="6">
        <f>IF(C529="","",IFERROR(VLOOKUP(C529,Lists!$C:$D,2,FALSE),""))</f>
        <v/>
      </c>
      <c r="E529" s="6" t="n"/>
      <c r="F529" s="6" t="n"/>
      <c r="G529" s="7">
        <f>IF(A529="","",A529+(7-WEEKDAY(A529,2)))</f>
        <v/>
      </c>
      <c r="H529" s="6">
        <f>IF(OR(A529="",B529=""),"",SUMIFS($E$2:$E$1001,$A$2:$A$1001,A529,$B$2:$B$1001,B529))</f>
        <v/>
      </c>
    </row>
    <row r="530">
      <c r="A530" s="7" t="n"/>
      <c r="B530" s="6" t="n"/>
      <c r="C530" s="6" t="n"/>
      <c r="D530" s="6">
        <f>IF(C530="","",IFERROR(VLOOKUP(C530,Lists!$C:$D,2,FALSE),""))</f>
        <v/>
      </c>
      <c r="E530" s="6" t="n"/>
      <c r="F530" s="6" t="n"/>
      <c r="G530" s="7">
        <f>IF(A530="","",A530+(7-WEEKDAY(A530,2)))</f>
        <v/>
      </c>
      <c r="H530" s="6">
        <f>IF(OR(A530="",B530=""),"",SUMIFS($E$2:$E$1001,$A$2:$A$1001,A530,$B$2:$B$1001,B530))</f>
        <v/>
      </c>
    </row>
    <row r="531">
      <c r="A531" s="7" t="n"/>
      <c r="B531" s="6" t="n"/>
      <c r="C531" s="6" t="n"/>
      <c r="D531" s="6">
        <f>IF(C531="","",IFERROR(VLOOKUP(C531,Lists!$C:$D,2,FALSE),""))</f>
        <v/>
      </c>
      <c r="E531" s="6" t="n"/>
      <c r="F531" s="6" t="n"/>
      <c r="G531" s="7">
        <f>IF(A531="","",A531+(7-WEEKDAY(A531,2)))</f>
        <v/>
      </c>
      <c r="H531" s="6">
        <f>IF(OR(A531="",B531=""),"",SUMIFS($E$2:$E$1001,$A$2:$A$1001,A531,$B$2:$B$1001,B531))</f>
        <v/>
      </c>
    </row>
    <row r="532">
      <c r="A532" s="7" t="n"/>
      <c r="B532" s="6" t="n"/>
      <c r="C532" s="6" t="n"/>
      <c r="D532" s="6">
        <f>IF(C532="","",IFERROR(VLOOKUP(C532,Lists!$C:$D,2,FALSE),""))</f>
        <v/>
      </c>
      <c r="E532" s="6" t="n"/>
      <c r="F532" s="6" t="n"/>
      <c r="G532" s="7">
        <f>IF(A532="","",A532+(7-WEEKDAY(A532,2)))</f>
        <v/>
      </c>
      <c r="H532" s="6">
        <f>IF(OR(A532="",B532=""),"",SUMIFS($E$2:$E$1001,$A$2:$A$1001,A532,$B$2:$B$1001,B532))</f>
        <v/>
      </c>
    </row>
    <row r="533">
      <c r="A533" s="7" t="n"/>
      <c r="B533" s="6" t="n"/>
      <c r="C533" s="6" t="n"/>
      <c r="D533" s="6">
        <f>IF(C533="","",IFERROR(VLOOKUP(C533,Lists!$C:$D,2,FALSE),""))</f>
        <v/>
      </c>
      <c r="E533" s="6" t="n"/>
      <c r="F533" s="6" t="n"/>
      <c r="G533" s="7">
        <f>IF(A533="","",A533+(7-WEEKDAY(A533,2)))</f>
        <v/>
      </c>
      <c r="H533" s="6">
        <f>IF(OR(A533="",B533=""),"",SUMIFS($E$2:$E$1001,$A$2:$A$1001,A533,$B$2:$B$1001,B533))</f>
        <v/>
      </c>
    </row>
    <row r="534">
      <c r="A534" s="7" t="n"/>
      <c r="B534" s="6" t="n"/>
      <c r="C534" s="6" t="n"/>
      <c r="D534" s="6">
        <f>IF(C534="","",IFERROR(VLOOKUP(C534,Lists!$C:$D,2,FALSE),""))</f>
        <v/>
      </c>
      <c r="E534" s="6" t="n"/>
      <c r="F534" s="6" t="n"/>
      <c r="G534" s="7">
        <f>IF(A534="","",A534+(7-WEEKDAY(A534,2)))</f>
        <v/>
      </c>
      <c r="H534" s="6">
        <f>IF(OR(A534="",B534=""),"",SUMIFS($E$2:$E$1001,$A$2:$A$1001,A534,$B$2:$B$1001,B534))</f>
        <v/>
      </c>
    </row>
    <row r="535">
      <c r="A535" s="7" t="n"/>
      <c r="B535" s="6" t="n"/>
      <c r="C535" s="6" t="n"/>
      <c r="D535" s="6">
        <f>IF(C535="","",IFERROR(VLOOKUP(C535,Lists!$C:$D,2,FALSE),""))</f>
        <v/>
      </c>
      <c r="E535" s="6" t="n"/>
      <c r="F535" s="6" t="n"/>
      <c r="G535" s="7">
        <f>IF(A535="","",A535+(7-WEEKDAY(A535,2)))</f>
        <v/>
      </c>
      <c r="H535" s="6">
        <f>IF(OR(A535="",B535=""),"",SUMIFS($E$2:$E$1001,$A$2:$A$1001,A535,$B$2:$B$1001,B535))</f>
        <v/>
      </c>
    </row>
    <row r="536">
      <c r="A536" s="7" t="n"/>
      <c r="B536" s="6" t="n"/>
      <c r="C536" s="6" t="n"/>
      <c r="D536" s="6">
        <f>IF(C536="","",IFERROR(VLOOKUP(C536,Lists!$C:$D,2,FALSE),""))</f>
        <v/>
      </c>
      <c r="E536" s="6" t="n"/>
      <c r="F536" s="6" t="n"/>
      <c r="G536" s="7">
        <f>IF(A536="","",A536+(7-WEEKDAY(A536,2)))</f>
        <v/>
      </c>
      <c r="H536" s="6">
        <f>IF(OR(A536="",B536=""),"",SUMIFS($E$2:$E$1001,$A$2:$A$1001,A536,$B$2:$B$1001,B536))</f>
        <v/>
      </c>
    </row>
    <row r="537">
      <c r="A537" s="7" t="n"/>
      <c r="B537" s="6" t="n"/>
      <c r="C537" s="6" t="n"/>
      <c r="D537" s="6">
        <f>IF(C537="","",IFERROR(VLOOKUP(C537,Lists!$C:$D,2,FALSE),""))</f>
        <v/>
      </c>
      <c r="E537" s="6" t="n"/>
      <c r="F537" s="6" t="n"/>
      <c r="G537" s="7">
        <f>IF(A537="","",A537+(7-WEEKDAY(A537,2)))</f>
        <v/>
      </c>
      <c r="H537" s="6">
        <f>IF(OR(A537="",B537=""),"",SUMIFS($E$2:$E$1001,$A$2:$A$1001,A537,$B$2:$B$1001,B537))</f>
        <v/>
      </c>
    </row>
    <row r="538">
      <c r="A538" s="7" t="n"/>
      <c r="B538" s="6" t="n"/>
      <c r="C538" s="6" t="n"/>
      <c r="D538" s="6">
        <f>IF(C538="","",IFERROR(VLOOKUP(C538,Lists!$C:$D,2,FALSE),""))</f>
        <v/>
      </c>
      <c r="E538" s="6" t="n"/>
      <c r="F538" s="6" t="n"/>
      <c r="G538" s="7">
        <f>IF(A538="","",A538+(7-WEEKDAY(A538,2)))</f>
        <v/>
      </c>
      <c r="H538" s="6">
        <f>IF(OR(A538="",B538=""),"",SUMIFS($E$2:$E$1001,$A$2:$A$1001,A538,$B$2:$B$1001,B538))</f>
        <v/>
      </c>
    </row>
    <row r="539">
      <c r="A539" s="7" t="n"/>
      <c r="B539" s="6" t="n"/>
      <c r="C539" s="6" t="n"/>
      <c r="D539" s="6">
        <f>IF(C539="","",IFERROR(VLOOKUP(C539,Lists!$C:$D,2,FALSE),""))</f>
        <v/>
      </c>
      <c r="E539" s="6" t="n"/>
      <c r="F539" s="6" t="n"/>
      <c r="G539" s="7">
        <f>IF(A539="","",A539+(7-WEEKDAY(A539,2)))</f>
        <v/>
      </c>
      <c r="H539" s="6">
        <f>IF(OR(A539="",B539=""),"",SUMIFS($E$2:$E$1001,$A$2:$A$1001,A539,$B$2:$B$1001,B539))</f>
        <v/>
      </c>
    </row>
    <row r="540">
      <c r="A540" s="7" t="n"/>
      <c r="B540" s="6" t="n"/>
      <c r="C540" s="6" t="n"/>
      <c r="D540" s="6">
        <f>IF(C540="","",IFERROR(VLOOKUP(C540,Lists!$C:$D,2,FALSE),""))</f>
        <v/>
      </c>
      <c r="E540" s="6" t="n"/>
      <c r="F540" s="6" t="n"/>
      <c r="G540" s="7">
        <f>IF(A540="","",A540+(7-WEEKDAY(A540,2)))</f>
        <v/>
      </c>
      <c r="H540" s="6">
        <f>IF(OR(A540="",B540=""),"",SUMIFS($E$2:$E$1001,$A$2:$A$1001,A540,$B$2:$B$1001,B540))</f>
        <v/>
      </c>
    </row>
    <row r="541">
      <c r="A541" s="7" t="n"/>
      <c r="B541" s="6" t="n"/>
      <c r="C541" s="6" t="n"/>
      <c r="D541" s="6">
        <f>IF(C541="","",IFERROR(VLOOKUP(C541,Lists!$C:$D,2,FALSE),""))</f>
        <v/>
      </c>
      <c r="E541" s="6" t="n"/>
      <c r="F541" s="6" t="n"/>
      <c r="G541" s="7">
        <f>IF(A541="","",A541+(7-WEEKDAY(A541,2)))</f>
        <v/>
      </c>
      <c r="H541" s="6">
        <f>IF(OR(A541="",B541=""),"",SUMIFS($E$2:$E$1001,$A$2:$A$1001,A541,$B$2:$B$1001,B541))</f>
        <v/>
      </c>
    </row>
    <row r="542">
      <c r="A542" s="7" t="n"/>
      <c r="B542" s="6" t="n"/>
      <c r="C542" s="6" t="n"/>
      <c r="D542" s="6">
        <f>IF(C542="","",IFERROR(VLOOKUP(C542,Lists!$C:$D,2,FALSE),""))</f>
        <v/>
      </c>
      <c r="E542" s="6" t="n"/>
      <c r="F542" s="6" t="n"/>
      <c r="G542" s="7">
        <f>IF(A542="","",A542+(7-WEEKDAY(A542,2)))</f>
        <v/>
      </c>
      <c r="H542" s="6">
        <f>IF(OR(A542="",B542=""),"",SUMIFS($E$2:$E$1001,$A$2:$A$1001,A542,$B$2:$B$1001,B542))</f>
        <v/>
      </c>
    </row>
    <row r="543">
      <c r="A543" s="7" t="n"/>
      <c r="B543" s="6" t="n"/>
      <c r="C543" s="6" t="n"/>
      <c r="D543" s="6">
        <f>IF(C543="","",IFERROR(VLOOKUP(C543,Lists!$C:$D,2,FALSE),""))</f>
        <v/>
      </c>
      <c r="E543" s="6" t="n"/>
      <c r="F543" s="6" t="n"/>
      <c r="G543" s="7">
        <f>IF(A543="","",A543+(7-WEEKDAY(A543,2)))</f>
        <v/>
      </c>
      <c r="H543" s="6">
        <f>IF(OR(A543="",B543=""),"",SUMIFS($E$2:$E$1001,$A$2:$A$1001,A543,$B$2:$B$1001,B543))</f>
        <v/>
      </c>
    </row>
    <row r="544">
      <c r="A544" s="7" t="n"/>
      <c r="B544" s="6" t="n"/>
      <c r="C544" s="6" t="n"/>
      <c r="D544" s="6">
        <f>IF(C544="","",IFERROR(VLOOKUP(C544,Lists!$C:$D,2,FALSE),""))</f>
        <v/>
      </c>
      <c r="E544" s="6" t="n"/>
      <c r="F544" s="6" t="n"/>
      <c r="G544" s="7">
        <f>IF(A544="","",A544+(7-WEEKDAY(A544,2)))</f>
        <v/>
      </c>
      <c r="H544" s="6">
        <f>IF(OR(A544="",B544=""),"",SUMIFS($E$2:$E$1001,$A$2:$A$1001,A544,$B$2:$B$1001,B544))</f>
        <v/>
      </c>
    </row>
    <row r="545">
      <c r="A545" s="7" t="n"/>
      <c r="B545" s="6" t="n"/>
      <c r="C545" s="6" t="n"/>
      <c r="D545" s="6">
        <f>IF(C545="","",IFERROR(VLOOKUP(C545,Lists!$C:$D,2,FALSE),""))</f>
        <v/>
      </c>
      <c r="E545" s="6" t="n"/>
      <c r="F545" s="6" t="n"/>
      <c r="G545" s="7">
        <f>IF(A545="","",A545+(7-WEEKDAY(A545,2)))</f>
        <v/>
      </c>
      <c r="H545" s="6">
        <f>IF(OR(A545="",B545=""),"",SUMIFS($E$2:$E$1001,$A$2:$A$1001,A545,$B$2:$B$1001,B545))</f>
        <v/>
      </c>
    </row>
    <row r="546">
      <c r="A546" s="7" t="n"/>
      <c r="B546" s="6" t="n"/>
      <c r="C546" s="6" t="n"/>
      <c r="D546" s="6">
        <f>IF(C546="","",IFERROR(VLOOKUP(C546,Lists!$C:$D,2,FALSE),""))</f>
        <v/>
      </c>
      <c r="E546" s="6" t="n"/>
      <c r="F546" s="6" t="n"/>
      <c r="G546" s="7">
        <f>IF(A546="","",A546+(7-WEEKDAY(A546,2)))</f>
        <v/>
      </c>
      <c r="H546" s="6">
        <f>IF(OR(A546="",B546=""),"",SUMIFS($E$2:$E$1001,$A$2:$A$1001,A546,$B$2:$B$1001,B546))</f>
        <v/>
      </c>
    </row>
    <row r="547">
      <c r="A547" s="7" t="n"/>
      <c r="B547" s="6" t="n"/>
      <c r="C547" s="6" t="n"/>
      <c r="D547" s="6">
        <f>IF(C547="","",IFERROR(VLOOKUP(C547,Lists!$C:$D,2,FALSE),""))</f>
        <v/>
      </c>
      <c r="E547" s="6" t="n"/>
      <c r="F547" s="6" t="n"/>
      <c r="G547" s="7">
        <f>IF(A547="","",A547+(7-WEEKDAY(A547,2)))</f>
        <v/>
      </c>
      <c r="H547" s="6">
        <f>IF(OR(A547="",B547=""),"",SUMIFS($E$2:$E$1001,$A$2:$A$1001,A547,$B$2:$B$1001,B547))</f>
        <v/>
      </c>
    </row>
    <row r="548">
      <c r="A548" s="7" t="n"/>
      <c r="B548" s="6" t="n"/>
      <c r="C548" s="6" t="n"/>
      <c r="D548" s="6">
        <f>IF(C548="","",IFERROR(VLOOKUP(C548,Lists!$C:$D,2,FALSE),""))</f>
        <v/>
      </c>
      <c r="E548" s="6" t="n"/>
      <c r="F548" s="6" t="n"/>
      <c r="G548" s="7">
        <f>IF(A548="","",A548+(7-WEEKDAY(A548,2)))</f>
        <v/>
      </c>
      <c r="H548" s="6">
        <f>IF(OR(A548="",B548=""),"",SUMIFS($E$2:$E$1001,$A$2:$A$1001,A548,$B$2:$B$1001,B548))</f>
        <v/>
      </c>
    </row>
    <row r="549">
      <c r="A549" s="7" t="n"/>
      <c r="B549" s="6" t="n"/>
      <c r="C549" s="6" t="n"/>
      <c r="D549" s="6">
        <f>IF(C549="","",IFERROR(VLOOKUP(C549,Lists!$C:$D,2,FALSE),""))</f>
        <v/>
      </c>
      <c r="E549" s="6" t="n"/>
      <c r="F549" s="6" t="n"/>
      <c r="G549" s="7">
        <f>IF(A549="","",A549+(7-WEEKDAY(A549,2)))</f>
        <v/>
      </c>
      <c r="H549" s="6">
        <f>IF(OR(A549="",B549=""),"",SUMIFS($E$2:$E$1001,$A$2:$A$1001,A549,$B$2:$B$1001,B549))</f>
        <v/>
      </c>
    </row>
    <row r="550">
      <c r="A550" s="7" t="n"/>
      <c r="B550" s="6" t="n"/>
      <c r="C550" s="6" t="n"/>
      <c r="D550" s="6">
        <f>IF(C550="","",IFERROR(VLOOKUP(C550,Lists!$C:$D,2,FALSE),""))</f>
        <v/>
      </c>
      <c r="E550" s="6" t="n"/>
      <c r="F550" s="6" t="n"/>
      <c r="G550" s="7">
        <f>IF(A550="","",A550+(7-WEEKDAY(A550,2)))</f>
        <v/>
      </c>
      <c r="H550" s="6">
        <f>IF(OR(A550="",B550=""),"",SUMIFS($E$2:$E$1001,$A$2:$A$1001,A550,$B$2:$B$1001,B550))</f>
        <v/>
      </c>
    </row>
    <row r="551">
      <c r="A551" s="7" t="n"/>
      <c r="B551" s="6" t="n"/>
      <c r="C551" s="6" t="n"/>
      <c r="D551" s="6">
        <f>IF(C551="","",IFERROR(VLOOKUP(C551,Lists!$C:$D,2,FALSE),""))</f>
        <v/>
      </c>
      <c r="E551" s="6" t="n"/>
      <c r="F551" s="6" t="n"/>
      <c r="G551" s="7">
        <f>IF(A551="","",A551+(7-WEEKDAY(A551,2)))</f>
        <v/>
      </c>
      <c r="H551" s="6">
        <f>IF(OR(A551="",B551=""),"",SUMIFS($E$2:$E$1001,$A$2:$A$1001,A551,$B$2:$B$1001,B551))</f>
        <v/>
      </c>
    </row>
    <row r="552">
      <c r="A552" s="7" t="n"/>
      <c r="B552" s="6" t="n"/>
      <c r="C552" s="6" t="n"/>
      <c r="D552" s="6">
        <f>IF(C552="","",IFERROR(VLOOKUP(C552,Lists!$C:$D,2,FALSE),""))</f>
        <v/>
      </c>
      <c r="E552" s="6" t="n"/>
      <c r="F552" s="6" t="n"/>
      <c r="G552" s="7">
        <f>IF(A552="","",A552+(7-WEEKDAY(A552,2)))</f>
        <v/>
      </c>
      <c r="H552" s="6">
        <f>IF(OR(A552="",B552=""),"",SUMIFS($E$2:$E$1001,$A$2:$A$1001,A552,$B$2:$B$1001,B552))</f>
        <v/>
      </c>
    </row>
    <row r="553">
      <c r="A553" s="7" t="n"/>
      <c r="B553" s="6" t="n"/>
      <c r="C553" s="6" t="n"/>
      <c r="D553" s="6">
        <f>IF(C553="","",IFERROR(VLOOKUP(C553,Lists!$C:$D,2,FALSE),""))</f>
        <v/>
      </c>
      <c r="E553" s="6" t="n"/>
      <c r="F553" s="6" t="n"/>
      <c r="G553" s="7">
        <f>IF(A553="","",A553+(7-WEEKDAY(A553,2)))</f>
        <v/>
      </c>
      <c r="H553" s="6">
        <f>IF(OR(A553="",B553=""),"",SUMIFS($E$2:$E$1001,$A$2:$A$1001,A553,$B$2:$B$1001,B553))</f>
        <v/>
      </c>
    </row>
    <row r="554">
      <c r="A554" s="7" t="n"/>
      <c r="B554" s="6" t="n"/>
      <c r="C554" s="6" t="n"/>
      <c r="D554" s="6">
        <f>IF(C554="","",IFERROR(VLOOKUP(C554,Lists!$C:$D,2,FALSE),""))</f>
        <v/>
      </c>
      <c r="E554" s="6" t="n"/>
      <c r="F554" s="6" t="n"/>
      <c r="G554" s="7">
        <f>IF(A554="","",A554+(7-WEEKDAY(A554,2)))</f>
        <v/>
      </c>
      <c r="H554" s="6">
        <f>IF(OR(A554="",B554=""),"",SUMIFS($E$2:$E$1001,$A$2:$A$1001,A554,$B$2:$B$1001,B554))</f>
        <v/>
      </c>
    </row>
    <row r="555">
      <c r="A555" s="7" t="n"/>
      <c r="B555" s="6" t="n"/>
      <c r="C555" s="6" t="n"/>
      <c r="D555" s="6">
        <f>IF(C555="","",IFERROR(VLOOKUP(C555,Lists!$C:$D,2,FALSE),""))</f>
        <v/>
      </c>
      <c r="E555" s="6" t="n"/>
      <c r="F555" s="6" t="n"/>
      <c r="G555" s="7">
        <f>IF(A555="","",A555+(7-WEEKDAY(A555,2)))</f>
        <v/>
      </c>
      <c r="H555" s="6">
        <f>IF(OR(A555="",B555=""),"",SUMIFS($E$2:$E$1001,$A$2:$A$1001,A555,$B$2:$B$1001,B555))</f>
        <v/>
      </c>
    </row>
    <row r="556">
      <c r="A556" s="7" t="n"/>
      <c r="B556" s="6" t="n"/>
      <c r="C556" s="6" t="n"/>
      <c r="D556" s="6">
        <f>IF(C556="","",IFERROR(VLOOKUP(C556,Lists!$C:$D,2,FALSE),""))</f>
        <v/>
      </c>
      <c r="E556" s="6" t="n"/>
      <c r="F556" s="6" t="n"/>
      <c r="G556" s="7">
        <f>IF(A556="","",A556+(7-WEEKDAY(A556,2)))</f>
        <v/>
      </c>
      <c r="H556" s="6">
        <f>IF(OR(A556="",B556=""),"",SUMIFS($E$2:$E$1001,$A$2:$A$1001,A556,$B$2:$B$1001,B556))</f>
        <v/>
      </c>
    </row>
    <row r="557">
      <c r="A557" s="7" t="n"/>
      <c r="B557" s="6" t="n"/>
      <c r="C557" s="6" t="n"/>
      <c r="D557" s="6">
        <f>IF(C557="","",IFERROR(VLOOKUP(C557,Lists!$C:$D,2,FALSE),""))</f>
        <v/>
      </c>
      <c r="E557" s="6" t="n"/>
      <c r="F557" s="6" t="n"/>
      <c r="G557" s="7">
        <f>IF(A557="","",A557+(7-WEEKDAY(A557,2)))</f>
        <v/>
      </c>
      <c r="H557" s="6">
        <f>IF(OR(A557="",B557=""),"",SUMIFS($E$2:$E$1001,$A$2:$A$1001,A557,$B$2:$B$1001,B557))</f>
        <v/>
      </c>
    </row>
    <row r="558">
      <c r="A558" s="7" t="n"/>
      <c r="B558" s="6" t="n"/>
      <c r="C558" s="6" t="n"/>
      <c r="D558" s="6">
        <f>IF(C558="","",IFERROR(VLOOKUP(C558,Lists!$C:$D,2,FALSE),""))</f>
        <v/>
      </c>
      <c r="E558" s="6" t="n"/>
      <c r="F558" s="6" t="n"/>
      <c r="G558" s="7">
        <f>IF(A558="","",A558+(7-WEEKDAY(A558,2)))</f>
        <v/>
      </c>
      <c r="H558" s="6">
        <f>IF(OR(A558="",B558=""),"",SUMIFS($E$2:$E$1001,$A$2:$A$1001,A558,$B$2:$B$1001,B558))</f>
        <v/>
      </c>
    </row>
    <row r="559">
      <c r="A559" s="7" t="n"/>
      <c r="B559" s="6" t="n"/>
      <c r="C559" s="6" t="n"/>
      <c r="D559" s="6">
        <f>IF(C559="","",IFERROR(VLOOKUP(C559,Lists!$C:$D,2,FALSE),""))</f>
        <v/>
      </c>
      <c r="E559" s="6" t="n"/>
      <c r="F559" s="6" t="n"/>
      <c r="G559" s="7">
        <f>IF(A559="","",A559+(7-WEEKDAY(A559,2)))</f>
        <v/>
      </c>
      <c r="H559" s="6">
        <f>IF(OR(A559="",B559=""),"",SUMIFS($E$2:$E$1001,$A$2:$A$1001,A559,$B$2:$B$1001,B559))</f>
        <v/>
      </c>
    </row>
    <row r="560">
      <c r="A560" s="7" t="n"/>
      <c r="B560" s="6" t="n"/>
      <c r="C560" s="6" t="n"/>
      <c r="D560" s="6">
        <f>IF(C560="","",IFERROR(VLOOKUP(C560,Lists!$C:$D,2,FALSE),""))</f>
        <v/>
      </c>
      <c r="E560" s="6" t="n"/>
      <c r="F560" s="6" t="n"/>
      <c r="G560" s="7">
        <f>IF(A560="","",A560+(7-WEEKDAY(A560,2)))</f>
        <v/>
      </c>
      <c r="H560" s="6">
        <f>IF(OR(A560="",B560=""),"",SUMIFS($E$2:$E$1001,$A$2:$A$1001,A560,$B$2:$B$1001,B560))</f>
        <v/>
      </c>
    </row>
    <row r="561">
      <c r="A561" s="7" t="n"/>
      <c r="B561" s="6" t="n"/>
      <c r="C561" s="6" t="n"/>
      <c r="D561" s="6">
        <f>IF(C561="","",IFERROR(VLOOKUP(C561,Lists!$C:$D,2,FALSE),""))</f>
        <v/>
      </c>
      <c r="E561" s="6" t="n"/>
      <c r="F561" s="6" t="n"/>
      <c r="G561" s="7">
        <f>IF(A561="","",A561+(7-WEEKDAY(A561,2)))</f>
        <v/>
      </c>
      <c r="H561" s="6">
        <f>IF(OR(A561="",B561=""),"",SUMIFS($E$2:$E$1001,$A$2:$A$1001,A561,$B$2:$B$1001,B561))</f>
        <v/>
      </c>
    </row>
    <row r="562">
      <c r="A562" s="7" t="n"/>
      <c r="B562" s="6" t="n"/>
      <c r="C562" s="6" t="n"/>
      <c r="D562" s="6">
        <f>IF(C562="","",IFERROR(VLOOKUP(C562,Lists!$C:$D,2,FALSE),""))</f>
        <v/>
      </c>
      <c r="E562" s="6" t="n"/>
      <c r="F562" s="6" t="n"/>
      <c r="G562" s="7">
        <f>IF(A562="","",A562+(7-WEEKDAY(A562,2)))</f>
        <v/>
      </c>
      <c r="H562" s="6">
        <f>IF(OR(A562="",B562=""),"",SUMIFS($E$2:$E$1001,$A$2:$A$1001,A562,$B$2:$B$1001,B562))</f>
        <v/>
      </c>
    </row>
    <row r="563">
      <c r="A563" s="7" t="n"/>
      <c r="B563" s="6" t="n"/>
      <c r="C563" s="6" t="n"/>
      <c r="D563" s="6">
        <f>IF(C563="","",IFERROR(VLOOKUP(C563,Lists!$C:$D,2,FALSE),""))</f>
        <v/>
      </c>
      <c r="E563" s="6" t="n"/>
      <c r="F563" s="6" t="n"/>
      <c r="G563" s="7">
        <f>IF(A563="","",A563+(7-WEEKDAY(A563,2)))</f>
        <v/>
      </c>
      <c r="H563" s="6">
        <f>IF(OR(A563="",B563=""),"",SUMIFS($E$2:$E$1001,$A$2:$A$1001,A563,$B$2:$B$1001,B563))</f>
        <v/>
      </c>
    </row>
    <row r="564">
      <c r="A564" s="7" t="n"/>
      <c r="B564" s="6" t="n"/>
      <c r="C564" s="6" t="n"/>
      <c r="D564" s="6">
        <f>IF(C564="","",IFERROR(VLOOKUP(C564,Lists!$C:$D,2,FALSE),""))</f>
        <v/>
      </c>
      <c r="E564" s="6" t="n"/>
      <c r="F564" s="6" t="n"/>
      <c r="G564" s="7">
        <f>IF(A564="","",A564+(7-WEEKDAY(A564,2)))</f>
        <v/>
      </c>
      <c r="H564" s="6">
        <f>IF(OR(A564="",B564=""),"",SUMIFS($E$2:$E$1001,$A$2:$A$1001,A564,$B$2:$B$1001,B564))</f>
        <v/>
      </c>
    </row>
    <row r="565">
      <c r="A565" s="7" t="n"/>
      <c r="B565" s="6" t="n"/>
      <c r="C565" s="6" t="n"/>
      <c r="D565" s="6">
        <f>IF(C565="","",IFERROR(VLOOKUP(C565,Lists!$C:$D,2,FALSE),""))</f>
        <v/>
      </c>
      <c r="E565" s="6" t="n"/>
      <c r="F565" s="6" t="n"/>
      <c r="G565" s="7">
        <f>IF(A565="","",A565+(7-WEEKDAY(A565,2)))</f>
        <v/>
      </c>
      <c r="H565" s="6">
        <f>IF(OR(A565="",B565=""),"",SUMIFS($E$2:$E$1001,$A$2:$A$1001,A565,$B$2:$B$1001,B565))</f>
        <v/>
      </c>
    </row>
    <row r="566">
      <c r="A566" s="7" t="n"/>
      <c r="B566" s="6" t="n"/>
      <c r="C566" s="6" t="n"/>
      <c r="D566" s="6">
        <f>IF(C566="","",IFERROR(VLOOKUP(C566,Lists!$C:$D,2,FALSE),""))</f>
        <v/>
      </c>
      <c r="E566" s="6" t="n"/>
      <c r="F566" s="6" t="n"/>
      <c r="G566" s="7">
        <f>IF(A566="","",A566+(7-WEEKDAY(A566,2)))</f>
        <v/>
      </c>
      <c r="H566" s="6">
        <f>IF(OR(A566="",B566=""),"",SUMIFS($E$2:$E$1001,$A$2:$A$1001,A566,$B$2:$B$1001,B566))</f>
        <v/>
      </c>
    </row>
    <row r="567">
      <c r="A567" s="7" t="n"/>
      <c r="B567" s="6" t="n"/>
      <c r="C567" s="6" t="n"/>
      <c r="D567" s="6">
        <f>IF(C567="","",IFERROR(VLOOKUP(C567,Lists!$C:$D,2,FALSE),""))</f>
        <v/>
      </c>
      <c r="E567" s="6" t="n"/>
      <c r="F567" s="6" t="n"/>
      <c r="G567" s="7">
        <f>IF(A567="","",A567+(7-WEEKDAY(A567,2)))</f>
        <v/>
      </c>
      <c r="H567" s="6">
        <f>IF(OR(A567="",B567=""),"",SUMIFS($E$2:$E$1001,$A$2:$A$1001,A567,$B$2:$B$1001,B567))</f>
        <v/>
      </c>
    </row>
    <row r="568">
      <c r="A568" s="7" t="n"/>
      <c r="B568" s="6" t="n"/>
      <c r="C568" s="6" t="n"/>
      <c r="D568" s="6">
        <f>IF(C568="","",IFERROR(VLOOKUP(C568,Lists!$C:$D,2,FALSE),""))</f>
        <v/>
      </c>
      <c r="E568" s="6" t="n"/>
      <c r="F568" s="6" t="n"/>
      <c r="G568" s="7">
        <f>IF(A568="","",A568+(7-WEEKDAY(A568,2)))</f>
        <v/>
      </c>
      <c r="H568" s="6">
        <f>IF(OR(A568="",B568=""),"",SUMIFS($E$2:$E$1001,$A$2:$A$1001,A568,$B$2:$B$1001,B568))</f>
        <v/>
      </c>
    </row>
    <row r="569">
      <c r="A569" s="7" t="n"/>
      <c r="B569" s="6" t="n"/>
      <c r="C569" s="6" t="n"/>
      <c r="D569" s="6">
        <f>IF(C569="","",IFERROR(VLOOKUP(C569,Lists!$C:$D,2,FALSE),""))</f>
        <v/>
      </c>
      <c r="E569" s="6" t="n"/>
      <c r="F569" s="6" t="n"/>
      <c r="G569" s="7">
        <f>IF(A569="","",A569+(7-WEEKDAY(A569,2)))</f>
        <v/>
      </c>
      <c r="H569" s="6">
        <f>IF(OR(A569="",B569=""),"",SUMIFS($E$2:$E$1001,$A$2:$A$1001,A569,$B$2:$B$1001,B569))</f>
        <v/>
      </c>
    </row>
    <row r="570">
      <c r="A570" s="7" t="n"/>
      <c r="B570" s="6" t="n"/>
      <c r="C570" s="6" t="n"/>
      <c r="D570" s="6">
        <f>IF(C570="","",IFERROR(VLOOKUP(C570,Lists!$C:$D,2,FALSE),""))</f>
        <v/>
      </c>
      <c r="E570" s="6" t="n"/>
      <c r="F570" s="6" t="n"/>
      <c r="G570" s="7">
        <f>IF(A570="","",A570+(7-WEEKDAY(A570,2)))</f>
        <v/>
      </c>
      <c r="H570" s="6">
        <f>IF(OR(A570="",B570=""),"",SUMIFS($E$2:$E$1001,$A$2:$A$1001,A570,$B$2:$B$1001,B570))</f>
        <v/>
      </c>
    </row>
    <row r="571">
      <c r="A571" s="7" t="n"/>
      <c r="B571" s="6" t="n"/>
      <c r="C571" s="6" t="n"/>
      <c r="D571" s="6">
        <f>IF(C571="","",IFERROR(VLOOKUP(C571,Lists!$C:$D,2,FALSE),""))</f>
        <v/>
      </c>
      <c r="E571" s="6" t="n"/>
      <c r="F571" s="6" t="n"/>
      <c r="G571" s="7">
        <f>IF(A571="","",A571+(7-WEEKDAY(A571,2)))</f>
        <v/>
      </c>
      <c r="H571" s="6">
        <f>IF(OR(A571="",B571=""),"",SUMIFS($E$2:$E$1001,$A$2:$A$1001,A571,$B$2:$B$1001,B571))</f>
        <v/>
      </c>
    </row>
    <row r="572">
      <c r="A572" s="7" t="n"/>
      <c r="B572" s="6" t="n"/>
      <c r="C572" s="6" t="n"/>
      <c r="D572" s="6">
        <f>IF(C572="","",IFERROR(VLOOKUP(C572,Lists!$C:$D,2,FALSE),""))</f>
        <v/>
      </c>
      <c r="E572" s="6" t="n"/>
      <c r="F572" s="6" t="n"/>
      <c r="G572" s="7">
        <f>IF(A572="","",A572+(7-WEEKDAY(A572,2)))</f>
        <v/>
      </c>
      <c r="H572" s="6">
        <f>IF(OR(A572="",B572=""),"",SUMIFS($E$2:$E$1001,$A$2:$A$1001,A572,$B$2:$B$1001,B572))</f>
        <v/>
      </c>
    </row>
    <row r="573">
      <c r="A573" s="7" t="n"/>
      <c r="B573" s="6" t="n"/>
      <c r="C573" s="6" t="n"/>
      <c r="D573" s="6">
        <f>IF(C573="","",IFERROR(VLOOKUP(C573,Lists!$C:$D,2,FALSE),""))</f>
        <v/>
      </c>
      <c r="E573" s="6" t="n"/>
      <c r="F573" s="6" t="n"/>
      <c r="G573" s="7">
        <f>IF(A573="","",A573+(7-WEEKDAY(A573,2)))</f>
        <v/>
      </c>
      <c r="H573" s="6">
        <f>IF(OR(A573="",B573=""),"",SUMIFS($E$2:$E$1001,$A$2:$A$1001,A573,$B$2:$B$1001,B573))</f>
        <v/>
      </c>
    </row>
    <row r="574">
      <c r="A574" s="7" t="n"/>
      <c r="B574" s="6" t="n"/>
      <c r="C574" s="6" t="n"/>
      <c r="D574" s="6">
        <f>IF(C574="","",IFERROR(VLOOKUP(C574,Lists!$C:$D,2,FALSE),""))</f>
        <v/>
      </c>
      <c r="E574" s="6" t="n"/>
      <c r="F574" s="6" t="n"/>
      <c r="G574" s="7">
        <f>IF(A574="","",A574+(7-WEEKDAY(A574,2)))</f>
        <v/>
      </c>
      <c r="H574" s="6">
        <f>IF(OR(A574="",B574=""),"",SUMIFS($E$2:$E$1001,$A$2:$A$1001,A574,$B$2:$B$1001,B574))</f>
        <v/>
      </c>
    </row>
    <row r="575">
      <c r="A575" s="7" t="n"/>
      <c r="B575" s="6" t="n"/>
      <c r="C575" s="6" t="n"/>
      <c r="D575" s="6">
        <f>IF(C575="","",IFERROR(VLOOKUP(C575,Lists!$C:$D,2,FALSE),""))</f>
        <v/>
      </c>
      <c r="E575" s="6" t="n"/>
      <c r="F575" s="6" t="n"/>
      <c r="G575" s="7">
        <f>IF(A575="","",A575+(7-WEEKDAY(A575,2)))</f>
        <v/>
      </c>
      <c r="H575" s="6">
        <f>IF(OR(A575="",B575=""),"",SUMIFS($E$2:$E$1001,$A$2:$A$1001,A575,$B$2:$B$1001,B575))</f>
        <v/>
      </c>
    </row>
    <row r="576">
      <c r="A576" s="7" t="n"/>
      <c r="B576" s="6" t="n"/>
      <c r="C576" s="6" t="n"/>
      <c r="D576" s="6">
        <f>IF(C576="","",IFERROR(VLOOKUP(C576,Lists!$C:$D,2,FALSE),""))</f>
        <v/>
      </c>
      <c r="E576" s="6" t="n"/>
      <c r="F576" s="6" t="n"/>
      <c r="G576" s="7">
        <f>IF(A576="","",A576+(7-WEEKDAY(A576,2)))</f>
        <v/>
      </c>
      <c r="H576" s="6">
        <f>IF(OR(A576="",B576=""),"",SUMIFS($E$2:$E$1001,$A$2:$A$1001,A576,$B$2:$B$1001,B576))</f>
        <v/>
      </c>
    </row>
    <row r="577">
      <c r="A577" s="7" t="n"/>
      <c r="B577" s="6" t="n"/>
      <c r="C577" s="6" t="n"/>
      <c r="D577" s="6">
        <f>IF(C577="","",IFERROR(VLOOKUP(C577,Lists!$C:$D,2,FALSE),""))</f>
        <v/>
      </c>
      <c r="E577" s="6" t="n"/>
      <c r="F577" s="6" t="n"/>
      <c r="G577" s="7">
        <f>IF(A577="","",A577+(7-WEEKDAY(A577,2)))</f>
        <v/>
      </c>
      <c r="H577" s="6">
        <f>IF(OR(A577="",B577=""),"",SUMIFS($E$2:$E$1001,$A$2:$A$1001,A577,$B$2:$B$1001,B577))</f>
        <v/>
      </c>
    </row>
    <row r="578">
      <c r="A578" s="7" t="n"/>
      <c r="B578" s="6" t="n"/>
      <c r="C578" s="6" t="n"/>
      <c r="D578" s="6">
        <f>IF(C578="","",IFERROR(VLOOKUP(C578,Lists!$C:$D,2,FALSE),""))</f>
        <v/>
      </c>
      <c r="E578" s="6" t="n"/>
      <c r="F578" s="6" t="n"/>
      <c r="G578" s="7">
        <f>IF(A578="","",A578+(7-WEEKDAY(A578,2)))</f>
        <v/>
      </c>
      <c r="H578" s="6">
        <f>IF(OR(A578="",B578=""),"",SUMIFS($E$2:$E$1001,$A$2:$A$1001,A578,$B$2:$B$1001,B578))</f>
        <v/>
      </c>
    </row>
    <row r="579">
      <c r="A579" s="7" t="n"/>
      <c r="B579" s="6" t="n"/>
      <c r="C579" s="6" t="n"/>
      <c r="D579" s="6">
        <f>IF(C579="","",IFERROR(VLOOKUP(C579,Lists!$C:$D,2,FALSE),""))</f>
        <v/>
      </c>
      <c r="E579" s="6" t="n"/>
      <c r="F579" s="6" t="n"/>
      <c r="G579" s="7">
        <f>IF(A579="","",A579+(7-WEEKDAY(A579,2)))</f>
        <v/>
      </c>
      <c r="H579" s="6">
        <f>IF(OR(A579="",B579=""),"",SUMIFS($E$2:$E$1001,$A$2:$A$1001,A579,$B$2:$B$1001,B579))</f>
        <v/>
      </c>
    </row>
    <row r="580">
      <c r="A580" s="7" t="n"/>
      <c r="B580" s="6" t="n"/>
      <c r="C580" s="6" t="n"/>
      <c r="D580" s="6">
        <f>IF(C580="","",IFERROR(VLOOKUP(C580,Lists!$C:$D,2,FALSE),""))</f>
        <v/>
      </c>
      <c r="E580" s="6" t="n"/>
      <c r="F580" s="6" t="n"/>
      <c r="G580" s="7">
        <f>IF(A580="","",A580+(7-WEEKDAY(A580,2)))</f>
        <v/>
      </c>
      <c r="H580" s="6">
        <f>IF(OR(A580="",B580=""),"",SUMIFS($E$2:$E$1001,$A$2:$A$1001,A580,$B$2:$B$1001,B580))</f>
        <v/>
      </c>
    </row>
    <row r="581">
      <c r="A581" s="7" t="n"/>
      <c r="B581" s="6" t="n"/>
      <c r="C581" s="6" t="n"/>
      <c r="D581" s="6">
        <f>IF(C581="","",IFERROR(VLOOKUP(C581,Lists!$C:$D,2,FALSE),""))</f>
        <v/>
      </c>
      <c r="E581" s="6" t="n"/>
      <c r="F581" s="6" t="n"/>
      <c r="G581" s="7">
        <f>IF(A581="","",A581+(7-WEEKDAY(A581,2)))</f>
        <v/>
      </c>
      <c r="H581" s="6">
        <f>IF(OR(A581="",B581=""),"",SUMIFS($E$2:$E$1001,$A$2:$A$1001,A581,$B$2:$B$1001,B581))</f>
        <v/>
      </c>
    </row>
    <row r="582">
      <c r="A582" s="7" t="n"/>
      <c r="B582" s="6" t="n"/>
      <c r="C582" s="6" t="n"/>
      <c r="D582" s="6">
        <f>IF(C582="","",IFERROR(VLOOKUP(C582,Lists!$C:$D,2,FALSE),""))</f>
        <v/>
      </c>
      <c r="E582" s="6" t="n"/>
      <c r="F582" s="6" t="n"/>
      <c r="G582" s="7">
        <f>IF(A582="","",A582+(7-WEEKDAY(A582,2)))</f>
        <v/>
      </c>
      <c r="H582" s="6">
        <f>IF(OR(A582="",B582=""),"",SUMIFS($E$2:$E$1001,$A$2:$A$1001,A582,$B$2:$B$1001,B582))</f>
        <v/>
      </c>
    </row>
    <row r="583">
      <c r="A583" s="7" t="n"/>
      <c r="B583" s="6" t="n"/>
      <c r="C583" s="6" t="n"/>
      <c r="D583" s="6">
        <f>IF(C583="","",IFERROR(VLOOKUP(C583,Lists!$C:$D,2,FALSE),""))</f>
        <v/>
      </c>
      <c r="E583" s="6" t="n"/>
      <c r="F583" s="6" t="n"/>
      <c r="G583" s="7">
        <f>IF(A583="","",A583+(7-WEEKDAY(A583,2)))</f>
        <v/>
      </c>
      <c r="H583" s="6">
        <f>IF(OR(A583="",B583=""),"",SUMIFS($E$2:$E$1001,$A$2:$A$1001,A583,$B$2:$B$1001,B583))</f>
        <v/>
      </c>
    </row>
    <row r="584">
      <c r="A584" s="7" t="n"/>
      <c r="B584" s="6" t="n"/>
      <c r="C584" s="6" t="n"/>
      <c r="D584" s="6">
        <f>IF(C584="","",IFERROR(VLOOKUP(C584,Lists!$C:$D,2,FALSE),""))</f>
        <v/>
      </c>
      <c r="E584" s="6" t="n"/>
      <c r="F584" s="6" t="n"/>
      <c r="G584" s="7">
        <f>IF(A584="","",A584+(7-WEEKDAY(A584,2)))</f>
        <v/>
      </c>
      <c r="H584" s="6">
        <f>IF(OR(A584="",B584=""),"",SUMIFS($E$2:$E$1001,$A$2:$A$1001,A584,$B$2:$B$1001,B584))</f>
        <v/>
      </c>
    </row>
    <row r="585">
      <c r="A585" s="7" t="n"/>
      <c r="B585" s="6" t="n"/>
      <c r="C585" s="6" t="n"/>
      <c r="D585" s="6">
        <f>IF(C585="","",IFERROR(VLOOKUP(C585,Lists!$C:$D,2,FALSE),""))</f>
        <v/>
      </c>
      <c r="E585" s="6" t="n"/>
      <c r="F585" s="6" t="n"/>
      <c r="G585" s="7">
        <f>IF(A585="","",A585+(7-WEEKDAY(A585,2)))</f>
        <v/>
      </c>
      <c r="H585" s="6">
        <f>IF(OR(A585="",B585=""),"",SUMIFS($E$2:$E$1001,$A$2:$A$1001,A585,$B$2:$B$1001,B585))</f>
        <v/>
      </c>
    </row>
    <row r="586">
      <c r="A586" s="7" t="n"/>
      <c r="B586" s="6" t="n"/>
      <c r="C586" s="6" t="n"/>
      <c r="D586" s="6">
        <f>IF(C586="","",IFERROR(VLOOKUP(C586,Lists!$C:$D,2,FALSE),""))</f>
        <v/>
      </c>
      <c r="E586" s="6" t="n"/>
      <c r="F586" s="6" t="n"/>
      <c r="G586" s="7">
        <f>IF(A586="","",A586+(7-WEEKDAY(A586,2)))</f>
        <v/>
      </c>
      <c r="H586" s="6">
        <f>IF(OR(A586="",B586=""),"",SUMIFS($E$2:$E$1001,$A$2:$A$1001,A586,$B$2:$B$1001,B586))</f>
        <v/>
      </c>
    </row>
    <row r="587">
      <c r="A587" s="7" t="n"/>
      <c r="B587" s="6" t="n"/>
      <c r="C587" s="6" t="n"/>
      <c r="D587" s="6">
        <f>IF(C587="","",IFERROR(VLOOKUP(C587,Lists!$C:$D,2,FALSE),""))</f>
        <v/>
      </c>
      <c r="E587" s="6" t="n"/>
      <c r="F587" s="6" t="n"/>
      <c r="G587" s="7">
        <f>IF(A587="","",A587+(7-WEEKDAY(A587,2)))</f>
        <v/>
      </c>
      <c r="H587" s="6">
        <f>IF(OR(A587="",B587=""),"",SUMIFS($E$2:$E$1001,$A$2:$A$1001,A587,$B$2:$B$1001,B587))</f>
        <v/>
      </c>
    </row>
    <row r="588">
      <c r="A588" s="7" t="n"/>
      <c r="B588" s="6" t="n"/>
      <c r="C588" s="6" t="n"/>
      <c r="D588" s="6">
        <f>IF(C588="","",IFERROR(VLOOKUP(C588,Lists!$C:$D,2,FALSE),""))</f>
        <v/>
      </c>
      <c r="E588" s="6" t="n"/>
      <c r="F588" s="6" t="n"/>
      <c r="G588" s="7">
        <f>IF(A588="","",A588+(7-WEEKDAY(A588,2)))</f>
        <v/>
      </c>
      <c r="H588" s="6">
        <f>IF(OR(A588="",B588=""),"",SUMIFS($E$2:$E$1001,$A$2:$A$1001,A588,$B$2:$B$1001,B588))</f>
        <v/>
      </c>
    </row>
    <row r="589">
      <c r="A589" s="7" t="n"/>
      <c r="B589" s="6" t="n"/>
      <c r="C589" s="6" t="n"/>
      <c r="D589" s="6">
        <f>IF(C589="","",IFERROR(VLOOKUP(C589,Lists!$C:$D,2,FALSE),""))</f>
        <v/>
      </c>
      <c r="E589" s="6" t="n"/>
      <c r="F589" s="6" t="n"/>
      <c r="G589" s="7">
        <f>IF(A589="","",A589+(7-WEEKDAY(A589,2)))</f>
        <v/>
      </c>
      <c r="H589" s="6">
        <f>IF(OR(A589="",B589=""),"",SUMIFS($E$2:$E$1001,$A$2:$A$1001,A589,$B$2:$B$1001,B589))</f>
        <v/>
      </c>
    </row>
    <row r="590">
      <c r="A590" s="7" t="n"/>
      <c r="B590" s="6" t="n"/>
      <c r="C590" s="6" t="n"/>
      <c r="D590" s="6">
        <f>IF(C590="","",IFERROR(VLOOKUP(C590,Lists!$C:$D,2,FALSE),""))</f>
        <v/>
      </c>
      <c r="E590" s="6" t="n"/>
      <c r="F590" s="6" t="n"/>
      <c r="G590" s="7">
        <f>IF(A590="","",A590+(7-WEEKDAY(A590,2)))</f>
        <v/>
      </c>
      <c r="H590" s="6">
        <f>IF(OR(A590="",B590=""),"",SUMIFS($E$2:$E$1001,$A$2:$A$1001,A590,$B$2:$B$1001,B590))</f>
        <v/>
      </c>
    </row>
    <row r="591">
      <c r="A591" s="7" t="n"/>
      <c r="B591" s="6" t="n"/>
      <c r="C591" s="6" t="n"/>
      <c r="D591" s="6">
        <f>IF(C591="","",IFERROR(VLOOKUP(C591,Lists!$C:$D,2,FALSE),""))</f>
        <v/>
      </c>
      <c r="E591" s="6" t="n"/>
      <c r="F591" s="6" t="n"/>
      <c r="G591" s="7">
        <f>IF(A591="","",A591+(7-WEEKDAY(A591,2)))</f>
        <v/>
      </c>
      <c r="H591" s="6">
        <f>IF(OR(A591="",B591=""),"",SUMIFS($E$2:$E$1001,$A$2:$A$1001,A591,$B$2:$B$1001,B591))</f>
        <v/>
      </c>
    </row>
    <row r="592">
      <c r="A592" s="7" t="n"/>
      <c r="B592" s="6" t="n"/>
      <c r="C592" s="6" t="n"/>
      <c r="D592" s="6">
        <f>IF(C592="","",IFERROR(VLOOKUP(C592,Lists!$C:$D,2,FALSE),""))</f>
        <v/>
      </c>
      <c r="E592" s="6" t="n"/>
      <c r="F592" s="6" t="n"/>
      <c r="G592" s="7">
        <f>IF(A592="","",A592+(7-WEEKDAY(A592,2)))</f>
        <v/>
      </c>
      <c r="H592" s="6">
        <f>IF(OR(A592="",B592=""),"",SUMIFS($E$2:$E$1001,$A$2:$A$1001,A592,$B$2:$B$1001,B592))</f>
        <v/>
      </c>
    </row>
    <row r="593">
      <c r="A593" s="7" t="n"/>
      <c r="B593" s="6" t="n"/>
      <c r="C593" s="6" t="n"/>
      <c r="D593" s="6">
        <f>IF(C593="","",IFERROR(VLOOKUP(C593,Lists!$C:$D,2,FALSE),""))</f>
        <v/>
      </c>
      <c r="E593" s="6" t="n"/>
      <c r="F593" s="6" t="n"/>
      <c r="G593" s="7">
        <f>IF(A593="","",A593+(7-WEEKDAY(A593,2)))</f>
        <v/>
      </c>
      <c r="H593" s="6">
        <f>IF(OR(A593="",B593=""),"",SUMIFS($E$2:$E$1001,$A$2:$A$1001,A593,$B$2:$B$1001,B593))</f>
        <v/>
      </c>
    </row>
    <row r="594">
      <c r="A594" s="7" t="n"/>
      <c r="B594" s="6" t="n"/>
      <c r="C594" s="6" t="n"/>
      <c r="D594" s="6">
        <f>IF(C594="","",IFERROR(VLOOKUP(C594,Lists!$C:$D,2,FALSE),""))</f>
        <v/>
      </c>
      <c r="E594" s="6" t="n"/>
      <c r="F594" s="6" t="n"/>
      <c r="G594" s="7">
        <f>IF(A594="","",A594+(7-WEEKDAY(A594,2)))</f>
        <v/>
      </c>
      <c r="H594" s="6">
        <f>IF(OR(A594="",B594=""),"",SUMIFS($E$2:$E$1001,$A$2:$A$1001,A594,$B$2:$B$1001,B594))</f>
        <v/>
      </c>
    </row>
    <row r="595">
      <c r="A595" s="7" t="n"/>
      <c r="B595" s="6" t="n"/>
      <c r="C595" s="6" t="n"/>
      <c r="D595" s="6">
        <f>IF(C595="","",IFERROR(VLOOKUP(C595,Lists!$C:$D,2,FALSE),""))</f>
        <v/>
      </c>
      <c r="E595" s="6" t="n"/>
      <c r="F595" s="6" t="n"/>
      <c r="G595" s="7">
        <f>IF(A595="","",A595+(7-WEEKDAY(A595,2)))</f>
        <v/>
      </c>
      <c r="H595" s="6">
        <f>IF(OR(A595="",B595=""),"",SUMIFS($E$2:$E$1001,$A$2:$A$1001,A595,$B$2:$B$1001,B595))</f>
        <v/>
      </c>
    </row>
    <row r="596">
      <c r="A596" s="7" t="n"/>
      <c r="B596" s="6" t="n"/>
      <c r="C596" s="6" t="n"/>
      <c r="D596" s="6">
        <f>IF(C596="","",IFERROR(VLOOKUP(C596,Lists!$C:$D,2,FALSE),""))</f>
        <v/>
      </c>
      <c r="E596" s="6" t="n"/>
      <c r="F596" s="6" t="n"/>
      <c r="G596" s="7">
        <f>IF(A596="","",A596+(7-WEEKDAY(A596,2)))</f>
        <v/>
      </c>
      <c r="H596" s="6">
        <f>IF(OR(A596="",B596=""),"",SUMIFS($E$2:$E$1001,$A$2:$A$1001,A596,$B$2:$B$1001,B596))</f>
        <v/>
      </c>
    </row>
    <row r="597">
      <c r="A597" s="7" t="n"/>
      <c r="B597" s="6" t="n"/>
      <c r="C597" s="6" t="n"/>
      <c r="D597" s="6">
        <f>IF(C597="","",IFERROR(VLOOKUP(C597,Lists!$C:$D,2,FALSE),""))</f>
        <v/>
      </c>
      <c r="E597" s="6" t="n"/>
      <c r="F597" s="6" t="n"/>
      <c r="G597" s="7">
        <f>IF(A597="","",A597+(7-WEEKDAY(A597,2)))</f>
        <v/>
      </c>
      <c r="H597" s="6">
        <f>IF(OR(A597="",B597=""),"",SUMIFS($E$2:$E$1001,$A$2:$A$1001,A597,$B$2:$B$1001,B597))</f>
        <v/>
      </c>
    </row>
    <row r="598">
      <c r="A598" s="7" t="n"/>
      <c r="B598" s="6" t="n"/>
      <c r="C598" s="6" t="n"/>
      <c r="D598" s="6">
        <f>IF(C598="","",IFERROR(VLOOKUP(C598,Lists!$C:$D,2,FALSE),""))</f>
        <v/>
      </c>
      <c r="E598" s="6" t="n"/>
      <c r="F598" s="6" t="n"/>
      <c r="G598" s="7">
        <f>IF(A598="","",A598+(7-WEEKDAY(A598,2)))</f>
        <v/>
      </c>
      <c r="H598" s="6">
        <f>IF(OR(A598="",B598=""),"",SUMIFS($E$2:$E$1001,$A$2:$A$1001,A598,$B$2:$B$1001,B598))</f>
        <v/>
      </c>
    </row>
    <row r="599">
      <c r="A599" s="7" t="n"/>
      <c r="B599" s="6" t="n"/>
      <c r="C599" s="6" t="n"/>
      <c r="D599" s="6">
        <f>IF(C599="","",IFERROR(VLOOKUP(C599,Lists!$C:$D,2,FALSE),""))</f>
        <v/>
      </c>
      <c r="E599" s="6" t="n"/>
      <c r="F599" s="6" t="n"/>
      <c r="G599" s="7">
        <f>IF(A599="","",A599+(7-WEEKDAY(A599,2)))</f>
        <v/>
      </c>
      <c r="H599" s="6">
        <f>IF(OR(A599="",B599=""),"",SUMIFS($E$2:$E$1001,$A$2:$A$1001,A599,$B$2:$B$1001,B599))</f>
        <v/>
      </c>
    </row>
    <row r="600">
      <c r="A600" s="7" t="n"/>
      <c r="B600" s="6" t="n"/>
      <c r="C600" s="6" t="n"/>
      <c r="D600" s="6">
        <f>IF(C600="","",IFERROR(VLOOKUP(C600,Lists!$C:$D,2,FALSE),""))</f>
        <v/>
      </c>
      <c r="E600" s="6" t="n"/>
      <c r="F600" s="6" t="n"/>
      <c r="G600" s="7">
        <f>IF(A600="","",A600+(7-WEEKDAY(A600,2)))</f>
        <v/>
      </c>
      <c r="H600" s="6">
        <f>IF(OR(A600="",B600=""),"",SUMIFS($E$2:$E$1001,$A$2:$A$1001,A600,$B$2:$B$1001,B600))</f>
        <v/>
      </c>
    </row>
    <row r="601">
      <c r="A601" s="7" t="n"/>
      <c r="B601" s="6" t="n"/>
      <c r="C601" s="6" t="n"/>
      <c r="D601" s="6">
        <f>IF(C601="","",IFERROR(VLOOKUP(C601,Lists!$C:$D,2,FALSE),""))</f>
        <v/>
      </c>
      <c r="E601" s="6" t="n"/>
      <c r="F601" s="6" t="n"/>
      <c r="G601" s="7">
        <f>IF(A601="","",A601+(7-WEEKDAY(A601,2)))</f>
        <v/>
      </c>
      <c r="H601" s="6">
        <f>IF(OR(A601="",B601=""),"",SUMIFS($E$2:$E$1001,$A$2:$A$1001,A601,$B$2:$B$1001,B601))</f>
        <v/>
      </c>
    </row>
    <row r="602">
      <c r="A602" s="7" t="n"/>
      <c r="B602" s="6" t="n"/>
      <c r="C602" s="6" t="n"/>
      <c r="D602" s="6">
        <f>IF(C602="","",IFERROR(VLOOKUP(C602,Lists!$C:$D,2,FALSE),""))</f>
        <v/>
      </c>
      <c r="E602" s="6" t="n"/>
      <c r="F602" s="6" t="n"/>
      <c r="G602" s="7">
        <f>IF(A602="","",A602+(7-WEEKDAY(A602,2)))</f>
        <v/>
      </c>
      <c r="H602" s="6">
        <f>IF(OR(A602="",B602=""),"",SUMIFS($E$2:$E$1001,$A$2:$A$1001,A602,$B$2:$B$1001,B602))</f>
        <v/>
      </c>
    </row>
    <row r="603">
      <c r="A603" s="7" t="n"/>
      <c r="B603" s="6" t="n"/>
      <c r="C603" s="6" t="n"/>
      <c r="D603" s="6">
        <f>IF(C603="","",IFERROR(VLOOKUP(C603,Lists!$C:$D,2,FALSE),""))</f>
        <v/>
      </c>
      <c r="E603" s="6" t="n"/>
      <c r="F603" s="6" t="n"/>
      <c r="G603" s="7">
        <f>IF(A603="","",A603+(7-WEEKDAY(A603,2)))</f>
        <v/>
      </c>
      <c r="H603" s="6">
        <f>IF(OR(A603="",B603=""),"",SUMIFS($E$2:$E$1001,$A$2:$A$1001,A603,$B$2:$B$1001,B603))</f>
        <v/>
      </c>
    </row>
    <row r="604">
      <c r="A604" s="7" t="n"/>
      <c r="B604" s="6" t="n"/>
      <c r="C604" s="6" t="n"/>
      <c r="D604" s="6">
        <f>IF(C604="","",IFERROR(VLOOKUP(C604,Lists!$C:$D,2,FALSE),""))</f>
        <v/>
      </c>
      <c r="E604" s="6" t="n"/>
      <c r="F604" s="6" t="n"/>
      <c r="G604" s="7">
        <f>IF(A604="","",A604+(7-WEEKDAY(A604,2)))</f>
        <v/>
      </c>
      <c r="H604" s="6">
        <f>IF(OR(A604="",B604=""),"",SUMIFS($E$2:$E$1001,$A$2:$A$1001,A604,$B$2:$B$1001,B604))</f>
        <v/>
      </c>
    </row>
    <row r="605">
      <c r="A605" s="7" t="n"/>
      <c r="B605" s="6" t="n"/>
      <c r="C605" s="6" t="n"/>
      <c r="D605" s="6">
        <f>IF(C605="","",IFERROR(VLOOKUP(C605,Lists!$C:$D,2,FALSE),""))</f>
        <v/>
      </c>
      <c r="E605" s="6" t="n"/>
      <c r="F605" s="6" t="n"/>
      <c r="G605" s="7">
        <f>IF(A605="","",A605+(7-WEEKDAY(A605,2)))</f>
        <v/>
      </c>
      <c r="H605" s="6">
        <f>IF(OR(A605="",B605=""),"",SUMIFS($E$2:$E$1001,$A$2:$A$1001,A605,$B$2:$B$1001,B605))</f>
        <v/>
      </c>
    </row>
    <row r="606">
      <c r="A606" s="7" t="n"/>
      <c r="B606" s="6" t="n"/>
      <c r="C606" s="6" t="n"/>
      <c r="D606" s="6">
        <f>IF(C606="","",IFERROR(VLOOKUP(C606,Lists!$C:$D,2,FALSE),""))</f>
        <v/>
      </c>
      <c r="E606" s="6" t="n"/>
      <c r="F606" s="6" t="n"/>
      <c r="G606" s="7">
        <f>IF(A606="","",A606+(7-WEEKDAY(A606,2)))</f>
        <v/>
      </c>
      <c r="H606" s="6">
        <f>IF(OR(A606="",B606=""),"",SUMIFS($E$2:$E$1001,$A$2:$A$1001,A606,$B$2:$B$1001,B606))</f>
        <v/>
      </c>
    </row>
    <row r="607">
      <c r="A607" s="7" t="n"/>
      <c r="B607" s="6" t="n"/>
      <c r="C607" s="6" t="n"/>
      <c r="D607" s="6">
        <f>IF(C607="","",IFERROR(VLOOKUP(C607,Lists!$C:$D,2,FALSE),""))</f>
        <v/>
      </c>
      <c r="E607" s="6" t="n"/>
      <c r="F607" s="6" t="n"/>
      <c r="G607" s="7">
        <f>IF(A607="","",A607+(7-WEEKDAY(A607,2)))</f>
        <v/>
      </c>
      <c r="H607" s="6">
        <f>IF(OR(A607="",B607=""),"",SUMIFS($E$2:$E$1001,$A$2:$A$1001,A607,$B$2:$B$1001,B607))</f>
        <v/>
      </c>
    </row>
    <row r="608">
      <c r="A608" s="7" t="n"/>
      <c r="B608" s="6" t="n"/>
      <c r="C608" s="6" t="n"/>
      <c r="D608" s="6">
        <f>IF(C608="","",IFERROR(VLOOKUP(C608,Lists!$C:$D,2,FALSE),""))</f>
        <v/>
      </c>
      <c r="E608" s="6" t="n"/>
      <c r="F608" s="6" t="n"/>
      <c r="G608" s="7">
        <f>IF(A608="","",A608+(7-WEEKDAY(A608,2)))</f>
        <v/>
      </c>
      <c r="H608" s="6">
        <f>IF(OR(A608="",B608=""),"",SUMIFS($E$2:$E$1001,$A$2:$A$1001,A608,$B$2:$B$1001,B608))</f>
        <v/>
      </c>
    </row>
    <row r="609">
      <c r="A609" s="7" t="n"/>
      <c r="B609" s="6" t="n"/>
      <c r="C609" s="6" t="n"/>
      <c r="D609" s="6">
        <f>IF(C609="","",IFERROR(VLOOKUP(C609,Lists!$C:$D,2,FALSE),""))</f>
        <v/>
      </c>
      <c r="E609" s="6" t="n"/>
      <c r="F609" s="6" t="n"/>
      <c r="G609" s="7">
        <f>IF(A609="","",A609+(7-WEEKDAY(A609,2)))</f>
        <v/>
      </c>
      <c r="H609" s="6">
        <f>IF(OR(A609="",B609=""),"",SUMIFS($E$2:$E$1001,$A$2:$A$1001,A609,$B$2:$B$1001,B609))</f>
        <v/>
      </c>
    </row>
    <row r="610">
      <c r="A610" s="7" t="n"/>
      <c r="B610" s="6" t="n"/>
      <c r="C610" s="6" t="n"/>
      <c r="D610" s="6">
        <f>IF(C610="","",IFERROR(VLOOKUP(C610,Lists!$C:$D,2,FALSE),""))</f>
        <v/>
      </c>
      <c r="E610" s="6" t="n"/>
      <c r="F610" s="6" t="n"/>
      <c r="G610" s="7">
        <f>IF(A610="","",A610+(7-WEEKDAY(A610,2)))</f>
        <v/>
      </c>
      <c r="H610" s="6">
        <f>IF(OR(A610="",B610=""),"",SUMIFS($E$2:$E$1001,$A$2:$A$1001,A610,$B$2:$B$1001,B610))</f>
        <v/>
      </c>
    </row>
    <row r="611">
      <c r="A611" s="7" t="n"/>
      <c r="B611" s="6" t="n"/>
      <c r="C611" s="6" t="n"/>
      <c r="D611" s="6">
        <f>IF(C611="","",IFERROR(VLOOKUP(C611,Lists!$C:$D,2,FALSE),""))</f>
        <v/>
      </c>
      <c r="E611" s="6" t="n"/>
      <c r="F611" s="6" t="n"/>
      <c r="G611" s="7">
        <f>IF(A611="","",A611+(7-WEEKDAY(A611,2)))</f>
        <v/>
      </c>
      <c r="H611" s="6">
        <f>IF(OR(A611="",B611=""),"",SUMIFS($E$2:$E$1001,$A$2:$A$1001,A611,$B$2:$B$1001,B611))</f>
        <v/>
      </c>
    </row>
    <row r="612">
      <c r="A612" s="7" t="n"/>
      <c r="B612" s="6" t="n"/>
      <c r="C612" s="6" t="n"/>
      <c r="D612" s="6">
        <f>IF(C612="","",IFERROR(VLOOKUP(C612,Lists!$C:$D,2,FALSE),""))</f>
        <v/>
      </c>
      <c r="E612" s="6" t="n"/>
      <c r="F612" s="6" t="n"/>
      <c r="G612" s="7">
        <f>IF(A612="","",A612+(7-WEEKDAY(A612,2)))</f>
        <v/>
      </c>
      <c r="H612" s="6">
        <f>IF(OR(A612="",B612=""),"",SUMIFS($E$2:$E$1001,$A$2:$A$1001,A612,$B$2:$B$1001,B612))</f>
        <v/>
      </c>
    </row>
    <row r="613">
      <c r="A613" s="7" t="n"/>
      <c r="B613" s="6" t="n"/>
      <c r="C613" s="6" t="n"/>
      <c r="D613" s="6">
        <f>IF(C613="","",IFERROR(VLOOKUP(C613,Lists!$C:$D,2,FALSE),""))</f>
        <v/>
      </c>
      <c r="E613" s="6" t="n"/>
      <c r="F613" s="6" t="n"/>
      <c r="G613" s="7">
        <f>IF(A613="","",A613+(7-WEEKDAY(A613,2)))</f>
        <v/>
      </c>
      <c r="H613" s="6">
        <f>IF(OR(A613="",B613=""),"",SUMIFS($E$2:$E$1001,$A$2:$A$1001,A613,$B$2:$B$1001,B613))</f>
        <v/>
      </c>
    </row>
    <row r="614">
      <c r="A614" s="7" t="n"/>
      <c r="B614" s="6" t="n"/>
      <c r="C614" s="6" t="n"/>
      <c r="D614" s="6">
        <f>IF(C614="","",IFERROR(VLOOKUP(C614,Lists!$C:$D,2,FALSE),""))</f>
        <v/>
      </c>
      <c r="E614" s="6" t="n"/>
      <c r="F614" s="6" t="n"/>
      <c r="G614" s="7">
        <f>IF(A614="","",A614+(7-WEEKDAY(A614,2)))</f>
        <v/>
      </c>
      <c r="H614" s="6">
        <f>IF(OR(A614="",B614=""),"",SUMIFS($E$2:$E$1001,$A$2:$A$1001,A614,$B$2:$B$1001,B614))</f>
        <v/>
      </c>
    </row>
    <row r="615">
      <c r="A615" s="7" t="n"/>
      <c r="B615" s="6" t="n"/>
      <c r="C615" s="6" t="n"/>
      <c r="D615" s="6">
        <f>IF(C615="","",IFERROR(VLOOKUP(C615,Lists!$C:$D,2,FALSE),""))</f>
        <v/>
      </c>
      <c r="E615" s="6" t="n"/>
      <c r="F615" s="6" t="n"/>
      <c r="G615" s="7">
        <f>IF(A615="","",A615+(7-WEEKDAY(A615,2)))</f>
        <v/>
      </c>
      <c r="H615" s="6">
        <f>IF(OR(A615="",B615=""),"",SUMIFS($E$2:$E$1001,$A$2:$A$1001,A615,$B$2:$B$1001,B615))</f>
        <v/>
      </c>
    </row>
    <row r="616">
      <c r="A616" s="7" t="n"/>
      <c r="B616" s="6" t="n"/>
      <c r="C616" s="6" t="n"/>
      <c r="D616" s="6">
        <f>IF(C616="","",IFERROR(VLOOKUP(C616,Lists!$C:$D,2,FALSE),""))</f>
        <v/>
      </c>
      <c r="E616" s="6" t="n"/>
      <c r="F616" s="6" t="n"/>
      <c r="G616" s="7">
        <f>IF(A616="","",A616+(7-WEEKDAY(A616,2)))</f>
        <v/>
      </c>
      <c r="H616" s="6">
        <f>IF(OR(A616="",B616=""),"",SUMIFS($E$2:$E$1001,$A$2:$A$1001,A616,$B$2:$B$1001,B616))</f>
        <v/>
      </c>
    </row>
    <row r="617">
      <c r="A617" s="7" t="n"/>
      <c r="B617" s="6" t="n"/>
      <c r="C617" s="6" t="n"/>
      <c r="D617" s="6">
        <f>IF(C617="","",IFERROR(VLOOKUP(C617,Lists!$C:$D,2,FALSE),""))</f>
        <v/>
      </c>
      <c r="E617" s="6" t="n"/>
      <c r="F617" s="6" t="n"/>
      <c r="G617" s="7">
        <f>IF(A617="","",A617+(7-WEEKDAY(A617,2)))</f>
        <v/>
      </c>
      <c r="H617" s="6">
        <f>IF(OR(A617="",B617=""),"",SUMIFS($E$2:$E$1001,$A$2:$A$1001,A617,$B$2:$B$1001,B617))</f>
        <v/>
      </c>
    </row>
    <row r="618">
      <c r="A618" s="7" t="n"/>
      <c r="B618" s="6" t="n"/>
      <c r="C618" s="6" t="n"/>
      <c r="D618" s="6">
        <f>IF(C618="","",IFERROR(VLOOKUP(C618,Lists!$C:$D,2,FALSE),""))</f>
        <v/>
      </c>
      <c r="E618" s="6" t="n"/>
      <c r="F618" s="6" t="n"/>
      <c r="G618" s="7">
        <f>IF(A618="","",A618+(7-WEEKDAY(A618,2)))</f>
        <v/>
      </c>
      <c r="H618" s="6">
        <f>IF(OR(A618="",B618=""),"",SUMIFS($E$2:$E$1001,$A$2:$A$1001,A618,$B$2:$B$1001,B618))</f>
        <v/>
      </c>
    </row>
    <row r="619">
      <c r="A619" s="7" t="n"/>
      <c r="B619" s="6" t="n"/>
      <c r="C619" s="6" t="n"/>
      <c r="D619" s="6">
        <f>IF(C619="","",IFERROR(VLOOKUP(C619,Lists!$C:$D,2,FALSE),""))</f>
        <v/>
      </c>
      <c r="E619" s="6" t="n"/>
      <c r="F619" s="6" t="n"/>
      <c r="G619" s="7">
        <f>IF(A619="","",A619+(7-WEEKDAY(A619,2)))</f>
        <v/>
      </c>
      <c r="H619" s="6">
        <f>IF(OR(A619="",B619=""),"",SUMIFS($E$2:$E$1001,$A$2:$A$1001,A619,$B$2:$B$1001,B619))</f>
        <v/>
      </c>
    </row>
    <row r="620">
      <c r="A620" s="7" t="n"/>
      <c r="B620" s="6" t="n"/>
      <c r="C620" s="6" t="n"/>
      <c r="D620" s="6">
        <f>IF(C620="","",IFERROR(VLOOKUP(C620,Lists!$C:$D,2,FALSE),""))</f>
        <v/>
      </c>
      <c r="E620" s="6" t="n"/>
      <c r="F620" s="6" t="n"/>
      <c r="G620" s="7">
        <f>IF(A620="","",A620+(7-WEEKDAY(A620,2)))</f>
        <v/>
      </c>
      <c r="H620" s="6">
        <f>IF(OR(A620="",B620=""),"",SUMIFS($E$2:$E$1001,$A$2:$A$1001,A620,$B$2:$B$1001,B620))</f>
        <v/>
      </c>
    </row>
    <row r="621">
      <c r="A621" s="7" t="n"/>
      <c r="B621" s="6" t="n"/>
      <c r="C621" s="6" t="n"/>
      <c r="D621" s="6">
        <f>IF(C621="","",IFERROR(VLOOKUP(C621,Lists!$C:$D,2,FALSE),""))</f>
        <v/>
      </c>
      <c r="E621" s="6" t="n"/>
      <c r="F621" s="6" t="n"/>
      <c r="G621" s="7">
        <f>IF(A621="","",A621+(7-WEEKDAY(A621,2)))</f>
        <v/>
      </c>
      <c r="H621" s="6">
        <f>IF(OR(A621="",B621=""),"",SUMIFS($E$2:$E$1001,$A$2:$A$1001,A621,$B$2:$B$1001,B621))</f>
        <v/>
      </c>
    </row>
    <row r="622">
      <c r="A622" s="7" t="n"/>
      <c r="B622" s="6" t="n"/>
      <c r="C622" s="6" t="n"/>
      <c r="D622" s="6">
        <f>IF(C622="","",IFERROR(VLOOKUP(C622,Lists!$C:$D,2,FALSE),""))</f>
        <v/>
      </c>
      <c r="E622" s="6" t="n"/>
      <c r="F622" s="6" t="n"/>
      <c r="G622" s="7">
        <f>IF(A622="","",A622+(7-WEEKDAY(A622,2)))</f>
        <v/>
      </c>
      <c r="H622" s="6">
        <f>IF(OR(A622="",B622=""),"",SUMIFS($E$2:$E$1001,$A$2:$A$1001,A622,$B$2:$B$1001,B622))</f>
        <v/>
      </c>
    </row>
    <row r="623">
      <c r="A623" s="7" t="n"/>
      <c r="B623" s="6" t="n"/>
      <c r="C623" s="6" t="n"/>
      <c r="D623" s="6">
        <f>IF(C623="","",IFERROR(VLOOKUP(C623,Lists!$C:$D,2,FALSE),""))</f>
        <v/>
      </c>
      <c r="E623" s="6" t="n"/>
      <c r="F623" s="6" t="n"/>
      <c r="G623" s="7">
        <f>IF(A623="","",A623+(7-WEEKDAY(A623,2)))</f>
        <v/>
      </c>
      <c r="H623" s="6">
        <f>IF(OR(A623="",B623=""),"",SUMIFS($E$2:$E$1001,$A$2:$A$1001,A623,$B$2:$B$1001,B623))</f>
        <v/>
      </c>
    </row>
    <row r="624">
      <c r="A624" s="7" t="n"/>
      <c r="B624" s="6" t="n"/>
      <c r="C624" s="6" t="n"/>
      <c r="D624" s="6">
        <f>IF(C624="","",IFERROR(VLOOKUP(C624,Lists!$C:$D,2,FALSE),""))</f>
        <v/>
      </c>
      <c r="E624" s="6" t="n"/>
      <c r="F624" s="6" t="n"/>
      <c r="G624" s="7">
        <f>IF(A624="","",A624+(7-WEEKDAY(A624,2)))</f>
        <v/>
      </c>
      <c r="H624" s="6">
        <f>IF(OR(A624="",B624=""),"",SUMIFS($E$2:$E$1001,$A$2:$A$1001,A624,$B$2:$B$1001,B624))</f>
        <v/>
      </c>
    </row>
    <row r="625">
      <c r="A625" s="7" t="n"/>
      <c r="B625" s="6" t="n"/>
      <c r="C625" s="6" t="n"/>
      <c r="D625" s="6">
        <f>IF(C625="","",IFERROR(VLOOKUP(C625,Lists!$C:$D,2,FALSE),""))</f>
        <v/>
      </c>
      <c r="E625" s="6" t="n"/>
      <c r="F625" s="6" t="n"/>
      <c r="G625" s="7">
        <f>IF(A625="","",A625+(7-WEEKDAY(A625,2)))</f>
        <v/>
      </c>
      <c r="H625" s="6">
        <f>IF(OR(A625="",B625=""),"",SUMIFS($E$2:$E$1001,$A$2:$A$1001,A625,$B$2:$B$1001,B625))</f>
        <v/>
      </c>
    </row>
    <row r="626">
      <c r="A626" s="7" t="n"/>
      <c r="B626" s="6" t="n"/>
      <c r="C626" s="6" t="n"/>
      <c r="D626" s="6">
        <f>IF(C626="","",IFERROR(VLOOKUP(C626,Lists!$C:$D,2,FALSE),""))</f>
        <v/>
      </c>
      <c r="E626" s="6" t="n"/>
      <c r="F626" s="6" t="n"/>
      <c r="G626" s="7">
        <f>IF(A626="","",A626+(7-WEEKDAY(A626,2)))</f>
        <v/>
      </c>
      <c r="H626" s="6">
        <f>IF(OR(A626="",B626=""),"",SUMIFS($E$2:$E$1001,$A$2:$A$1001,A626,$B$2:$B$1001,B626))</f>
        <v/>
      </c>
    </row>
    <row r="627">
      <c r="A627" s="7" t="n"/>
      <c r="B627" s="6" t="n"/>
      <c r="C627" s="6" t="n"/>
      <c r="D627" s="6">
        <f>IF(C627="","",IFERROR(VLOOKUP(C627,Lists!$C:$D,2,FALSE),""))</f>
        <v/>
      </c>
      <c r="E627" s="6" t="n"/>
      <c r="F627" s="6" t="n"/>
      <c r="G627" s="7">
        <f>IF(A627="","",A627+(7-WEEKDAY(A627,2)))</f>
        <v/>
      </c>
      <c r="H627" s="6">
        <f>IF(OR(A627="",B627=""),"",SUMIFS($E$2:$E$1001,$A$2:$A$1001,A627,$B$2:$B$1001,B627))</f>
        <v/>
      </c>
    </row>
    <row r="628">
      <c r="A628" s="7" t="n"/>
      <c r="B628" s="6" t="n"/>
      <c r="C628" s="6" t="n"/>
      <c r="D628" s="6">
        <f>IF(C628="","",IFERROR(VLOOKUP(C628,Lists!$C:$D,2,FALSE),""))</f>
        <v/>
      </c>
      <c r="E628" s="6" t="n"/>
      <c r="F628" s="6" t="n"/>
      <c r="G628" s="7">
        <f>IF(A628="","",A628+(7-WEEKDAY(A628,2)))</f>
        <v/>
      </c>
      <c r="H628" s="6">
        <f>IF(OR(A628="",B628=""),"",SUMIFS($E$2:$E$1001,$A$2:$A$1001,A628,$B$2:$B$1001,B628))</f>
        <v/>
      </c>
    </row>
    <row r="629">
      <c r="A629" s="7" t="n"/>
      <c r="B629" s="6" t="n"/>
      <c r="C629" s="6" t="n"/>
      <c r="D629" s="6">
        <f>IF(C629="","",IFERROR(VLOOKUP(C629,Lists!$C:$D,2,FALSE),""))</f>
        <v/>
      </c>
      <c r="E629" s="6" t="n"/>
      <c r="F629" s="6" t="n"/>
      <c r="G629" s="7">
        <f>IF(A629="","",A629+(7-WEEKDAY(A629,2)))</f>
        <v/>
      </c>
      <c r="H629" s="6">
        <f>IF(OR(A629="",B629=""),"",SUMIFS($E$2:$E$1001,$A$2:$A$1001,A629,$B$2:$B$1001,B629))</f>
        <v/>
      </c>
    </row>
    <row r="630">
      <c r="A630" s="7" t="n"/>
      <c r="B630" s="6" t="n"/>
      <c r="C630" s="6" t="n"/>
      <c r="D630" s="6">
        <f>IF(C630="","",IFERROR(VLOOKUP(C630,Lists!$C:$D,2,FALSE),""))</f>
        <v/>
      </c>
      <c r="E630" s="6" t="n"/>
      <c r="F630" s="6" t="n"/>
      <c r="G630" s="7">
        <f>IF(A630="","",A630+(7-WEEKDAY(A630,2)))</f>
        <v/>
      </c>
      <c r="H630" s="6">
        <f>IF(OR(A630="",B630=""),"",SUMIFS($E$2:$E$1001,$A$2:$A$1001,A630,$B$2:$B$1001,B630))</f>
        <v/>
      </c>
    </row>
    <row r="631">
      <c r="A631" s="7" t="n"/>
      <c r="B631" s="6" t="n"/>
      <c r="C631" s="6" t="n"/>
      <c r="D631" s="6">
        <f>IF(C631="","",IFERROR(VLOOKUP(C631,Lists!$C:$D,2,FALSE),""))</f>
        <v/>
      </c>
      <c r="E631" s="6" t="n"/>
      <c r="F631" s="6" t="n"/>
      <c r="G631" s="7">
        <f>IF(A631="","",A631+(7-WEEKDAY(A631,2)))</f>
        <v/>
      </c>
      <c r="H631" s="6">
        <f>IF(OR(A631="",B631=""),"",SUMIFS($E$2:$E$1001,$A$2:$A$1001,A631,$B$2:$B$1001,B631))</f>
        <v/>
      </c>
    </row>
    <row r="632">
      <c r="A632" s="7" t="n"/>
      <c r="B632" s="6" t="n"/>
      <c r="C632" s="6" t="n"/>
      <c r="D632" s="6">
        <f>IF(C632="","",IFERROR(VLOOKUP(C632,Lists!$C:$D,2,FALSE),""))</f>
        <v/>
      </c>
      <c r="E632" s="6" t="n"/>
      <c r="F632" s="6" t="n"/>
      <c r="G632" s="7">
        <f>IF(A632="","",A632+(7-WEEKDAY(A632,2)))</f>
        <v/>
      </c>
      <c r="H632" s="6">
        <f>IF(OR(A632="",B632=""),"",SUMIFS($E$2:$E$1001,$A$2:$A$1001,A632,$B$2:$B$1001,B632))</f>
        <v/>
      </c>
    </row>
    <row r="633">
      <c r="A633" s="7" t="n"/>
      <c r="B633" s="6" t="n"/>
      <c r="C633" s="6" t="n"/>
      <c r="D633" s="6">
        <f>IF(C633="","",IFERROR(VLOOKUP(C633,Lists!$C:$D,2,FALSE),""))</f>
        <v/>
      </c>
      <c r="E633" s="6" t="n"/>
      <c r="F633" s="6" t="n"/>
      <c r="G633" s="7">
        <f>IF(A633="","",A633+(7-WEEKDAY(A633,2)))</f>
        <v/>
      </c>
      <c r="H633" s="6">
        <f>IF(OR(A633="",B633=""),"",SUMIFS($E$2:$E$1001,$A$2:$A$1001,A633,$B$2:$B$1001,B633))</f>
        <v/>
      </c>
    </row>
    <row r="634">
      <c r="A634" s="7" t="n"/>
      <c r="B634" s="6" t="n"/>
      <c r="C634" s="6" t="n"/>
      <c r="D634" s="6">
        <f>IF(C634="","",IFERROR(VLOOKUP(C634,Lists!$C:$D,2,FALSE),""))</f>
        <v/>
      </c>
      <c r="E634" s="6" t="n"/>
      <c r="F634" s="6" t="n"/>
      <c r="G634" s="7">
        <f>IF(A634="","",A634+(7-WEEKDAY(A634,2)))</f>
        <v/>
      </c>
      <c r="H634" s="6">
        <f>IF(OR(A634="",B634=""),"",SUMIFS($E$2:$E$1001,$A$2:$A$1001,A634,$B$2:$B$1001,B634))</f>
        <v/>
      </c>
    </row>
    <row r="635">
      <c r="A635" s="7" t="n"/>
      <c r="B635" s="6" t="n"/>
      <c r="C635" s="6" t="n"/>
      <c r="D635" s="6">
        <f>IF(C635="","",IFERROR(VLOOKUP(C635,Lists!$C:$D,2,FALSE),""))</f>
        <v/>
      </c>
      <c r="E635" s="6" t="n"/>
      <c r="F635" s="6" t="n"/>
      <c r="G635" s="7">
        <f>IF(A635="","",A635+(7-WEEKDAY(A635,2)))</f>
        <v/>
      </c>
      <c r="H635" s="6">
        <f>IF(OR(A635="",B635=""),"",SUMIFS($E$2:$E$1001,$A$2:$A$1001,A635,$B$2:$B$1001,B635))</f>
        <v/>
      </c>
    </row>
    <row r="636">
      <c r="A636" s="7" t="n"/>
      <c r="B636" s="6" t="n"/>
      <c r="C636" s="6" t="n"/>
      <c r="D636" s="6">
        <f>IF(C636="","",IFERROR(VLOOKUP(C636,Lists!$C:$D,2,FALSE),""))</f>
        <v/>
      </c>
      <c r="E636" s="6" t="n"/>
      <c r="F636" s="6" t="n"/>
      <c r="G636" s="7">
        <f>IF(A636="","",A636+(7-WEEKDAY(A636,2)))</f>
        <v/>
      </c>
      <c r="H636" s="6">
        <f>IF(OR(A636="",B636=""),"",SUMIFS($E$2:$E$1001,$A$2:$A$1001,A636,$B$2:$B$1001,B636))</f>
        <v/>
      </c>
    </row>
    <row r="637">
      <c r="A637" s="7" t="n"/>
      <c r="B637" s="6" t="n"/>
      <c r="C637" s="6" t="n"/>
      <c r="D637" s="6">
        <f>IF(C637="","",IFERROR(VLOOKUP(C637,Lists!$C:$D,2,FALSE),""))</f>
        <v/>
      </c>
      <c r="E637" s="6" t="n"/>
      <c r="F637" s="6" t="n"/>
      <c r="G637" s="7">
        <f>IF(A637="","",A637+(7-WEEKDAY(A637,2)))</f>
        <v/>
      </c>
      <c r="H637" s="6">
        <f>IF(OR(A637="",B637=""),"",SUMIFS($E$2:$E$1001,$A$2:$A$1001,A637,$B$2:$B$1001,B637))</f>
        <v/>
      </c>
    </row>
    <row r="638">
      <c r="A638" s="7" t="n"/>
      <c r="B638" s="6" t="n"/>
      <c r="C638" s="6" t="n"/>
      <c r="D638" s="6">
        <f>IF(C638="","",IFERROR(VLOOKUP(C638,Lists!$C:$D,2,FALSE),""))</f>
        <v/>
      </c>
      <c r="E638" s="6" t="n"/>
      <c r="F638" s="6" t="n"/>
      <c r="G638" s="7">
        <f>IF(A638="","",A638+(7-WEEKDAY(A638,2)))</f>
        <v/>
      </c>
      <c r="H638" s="6">
        <f>IF(OR(A638="",B638=""),"",SUMIFS($E$2:$E$1001,$A$2:$A$1001,A638,$B$2:$B$1001,B638))</f>
        <v/>
      </c>
    </row>
    <row r="639">
      <c r="A639" s="7" t="n"/>
      <c r="B639" s="6" t="n"/>
      <c r="C639" s="6" t="n"/>
      <c r="D639" s="6">
        <f>IF(C639="","",IFERROR(VLOOKUP(C639,Lists!$C:$D,2,FALSE),""))</f>
        <v/>
      </c>
      <c r="E639" s="6" t="n"/>
      <c r="F639" s="6" t="n"/>
      <c r="G639" s="7">
        <f>IF(A639="","",A639+(7-WEEKDAY(A639,2)))</f>
        <v/>
      </c>
      <c r="H639" s="6">
        <f>IF(OR(A639="",B639=""),"",SUMIFS($E$2:$E$1001,$A$2:$A$1001,A639,$B$2:$B$1001,B639))</f>
        <v/>
      </c>
    </row>
    <row r="640">
      <c r="A640" s="7" t="n"/>
      <c r="B640" s="6" t="n"/>
      <c r="C640" s="6" t="n"/>
      <c r="D640" s="6">
        <f>IF(C640="","",IFERROR(VLOOKUP(C640,Lists!$C:$D,2,FALSE),""))</f>
        <v/>
      </c>
      <c r="E640" s="6" t="n"/>
      <c r="F640" s="6" t="n"/>
      <c r="G640" s="7">
        <f>IF(A640="","",A640+(7-WEEKDAY(A640,2)))</f>
        <v/>
      </c>
      <c r="H640" s="6">
        <f>IF(OR(A640="",B640=""),"",SUMIFS($E$2:$E$1001,$A$2:$A$1001,A640,$B$2:$B$1001,B640))</f>
        <v/>
      </c>
    </row>
    <row r="641">
      <c r="A641" s="7" t="n"/>
      <c r="B641" s="6" t="n"/>
      <c r="C641" s="6" t="n"/>
      <c r="D641" s="6">
        <f>IF(C641="","",IFERROR(VLOOKUP(C641,Lists!$C:$D,2,FALSE),""))</f>
        <v/>
      </c>
      <c r="E641" s="6" t="n"/>
      <c r="F641" s="6" t="n"/>
      <c r="G641" s="7">
        <f>IF(A641="","",A641+(7-WEEKDAY(A641,2)))</f>
        <v/>
      </c>
      <c r="H641" s="6">
        <f>IF(OR(A641="",B641=""),"",SUMIFS($E$2:$E$1001,$A$2:$A$1001,A641,$B$2:$B$1001,B641))</f>
        <v/>
      </c>
    </row>
    <row r="642">
      <c r="A642" s="7" t="n"/>
      <c r="B642" s="6" t="n"/>
      <c r="C642" s="6" t="n"/>
      <c r="D642" s="6">
        <f>IF(C642="","",IFERROR(VLOOKUP(C642,Lists!$C:$D,2,FALSE),""))</f>
        <v/>
      </c>
      <c r="E642" s="6" t="n"/>
      <c r="F642" s="6" t="n"/>
      <c r="G642" s="7">
        <f>IF(A642="","",A642+(7-WEEKDAY(A642,2)))</f>
        <v/>
      </c>
      <c r="H642" s="6">
        <f>IF(OR(A642="",B642=""),"",SUMIFS($E$2:$E$1001,$A$2:$A$1001,A642,$B$2:$B$1001,B642))</f>
        <v/>
      </c>
    </row>
    <row r="643">
      <c r="A643" s="7" t="n"/>
      <c r="B643" s="6" t="n"/>
      <c r="C643" s="6" t="n"/>
      <c r="D643" s="6">
        <f>IF(C643="","",IFERROR(VLOOKUP(C643,Lists!$C:$D,2,FALSE),""))</f>
        <v/>
      </c>
      <c r="E643" s="6" t="n"/>
      <c r="F643" s="6" t="n"/>
      <c r="G643" s="7">
        <f>IF(A643="","",A643+(7-WEEKDAY(A643,2)))</f>
        <v/>
      </c>
      <c r="H643" s="6">
        <f>IF(OR(A643="",B643=""),"",SUMIFS($E$2:$E$1001,$A$2:$A$1001,A643,$B$2:$B$1001,B643))</f>
        <v/>
      </c>
    </row>
    <row r="644">
      <c r="A644" s="7" t="n"/>
      <c r="B644" s="6" t="n"/>
      <c r="C644" s="6" t="n"/>
      <c r="D644" s="6">
        <f>IF(C644="","",IFERROR(VLOOKUP(C644,Lists!$C:$D,2,FALSE),""))</f>
        <v/>
      </c>
      <c r="E644" s="6" t="n"/>
      <c r="F644" s="6" t="n"/>
      <c r="G644" s="7">
        <f>IF(A644="","",A644+(7-WEEKDAY(A644,2)))</f>
        <v/>
      </c>
      <c r="H644" s="6">
        <f>IF(OR(A644="",B644=""),"",SUMIFS($E$2:$E$1001,$A$2:$A$1001,A644,$B$2:$B$1001,B644))</f>
        <v/>
      </c>
    </row>
    <row r="645">
      <c r="A645" s="7" t="n"/>
      <c r="B645" s="6" t="n"/>
      <c r="C645" s="6" t="n"/>
      <c r="D645" s="6">
        <f>IF(C645="","",IFERROR(VLOOKUP(C645,Lists!$C:$D,2,FALSE),""))</f>
        <v/>
      </c>
      <c r="E645" s="6" t="n"/>
      <c r="F645" s="6" t="n"/>
      <c r="G645" s="7">
        <f>IF(A645="","",A645+(7-WEEKDAY(A645,2)))</f>
        <v/>
      </c>
      <c r="H645" s="6">
        <f>IF(OR(A645="",B645=""),"",SUMIFS($E$2:$E$1001,$A$2:$A$1001,A645,$B$2:$B$1001,B645))</f>
        <v/>
      </c>
    </row>
    <row r="646">
      <c r="A646" s="7" t="n"/>
      <c r="B646" s="6" t="n"/>
      <c r="C646" s="6" t="n"/>
      <c r="D646" s="6">
        <f>IF(C646="","",IFERROR(VLOOKUP(C646,Lists!$C:$D,2,FALSE),""))</f>
        <v/>
      </c>
      <c r="E646" s="6" t="n"/>
      <c r="F646" s="6" t="n"/>
      <c r="G646" s="7">
        <f>IF(A646="","",A646+(7-WEEKDAY(A646,2)))</f>
        <v/>
      </c>
      <c r="H646" s="6">
        <f>IF(OR(A646="",B646=""),"",SUMIFS($E$2:$E$1001,$A$2:$A$1001,A646,$B$2:$B$1001,B646))</f>
        <v/>
      </c>
    </row>
    <row r="647">
      <c r="A647" s="7" t="n"/>
      <c r="B647" s="6" t="n"/>
      <c r="C647" s="6" t="n"/>
      <c r="D647" s="6">
        <f>IF(C647="","",IFERROR(VLOOKUP(C647,Lists!$C:$D,2,FALSE),""))</f>
        <v/>
      </c>
      <c r="E647" s="6" t="n"/>
      <c r="F647" s="6" t="n"/>
      <c r="G647" s="7">
        <f>IF(A647="","",A647+(7-WEEKDAY(A647,2)))</f>
        <v/>
      </c>
      <c r="H647" s="6">
        <f>IF(OR(A647="",B647=""),"",SUMIFS($E$2:$E$1001,$A$2:$A$1001,A647,$B$2:$B$1001,B647))</f>
        <v/>
      </c>
    </row>
    <row r="648">
      <c r="A648" s="7" t="n"/>
      <c r="B648" s="6" t="n"/>
      <c r="C648" s="6" t="n"/>
      <c r="D648" s="6">
        <f>IF(C648="","",IFERROR(VLOOKUP(C648,Lists!$C:$D,2,FALSE),""))</f>
        <v/>
      </c>
      <c r="E648" s="6" t="n"/>
      <c r="F648" s="6" t="n"/>
      <c r="G648" s="7">
        <f>IF(A648="","",A648+(7-WEEKDAY(A648,2)))</f>
        <v/>
      </c>
      <c r="H648" s="6">
        <f>IF(OR(A648="",B648=""),"",SUMIFS($E$2:$E$1001,$A$2:$A$1001,A648,$B$2:$B$1001,B648))</f>
        <v/>
      </c>
    </row>
    <row r="649">
      <c r="A649" s="7" t="n"/>
      <c r="B649" s="6" t="n"/>
      <c r="C649" s="6" t="n"/>
      <c r="D649" s="6">
        <f>IF(C649="","",IFERROR(VLOOKUP(C649,Lists!$C:$D,2,FALSE),""))</f>
        <v/>
      </c>
      <c r="E649" s="6" t="n"/>
      <c r="F649" s="6" t="n"/>
      <c r="G649" s="7">
        <f>IF(A649="","",A649+(7-WEEKDAY(A649,2)))</f>
        <v/>
      </c>
      <c r="H649" s="6">
        <f>IF(OR(A649="",B649=""),"",SUMIFS($E$2:$E$1001,$A$2:$A$1001,A649,$B$2:$B$1001,B649))</f>
        <v/>
      </c>
    </row>
    <row r="650">
      <c r="A650" s="7" t="n"/>
      <c r="B650" s="6" t="n"/>
      <c r="C650" s="6" t="n"/>
      <c r="D650" s="6">
        <f>IF(C650="","",IFERROR(VLOOKUP(C650,Lists!$C:$D,2,FALSE),""))</f>
        <v/>
      </c>
      <c r="E650" s="6" t="n"/>
      <c r="F650" s="6" t="n"/>
      <c r="G650" s="7">
        <f>IF(A650="","",A650+(7-WEEKDAY(A650,2)))</f>
        <v/>
      </c>
      <c r="H650" s="6">
        <f>IF(OR(A650="",B650=""),"",SUMIFS($E$2:$E$1001,$A$2:$A$1001,A650,$B$2:$B$1001,B650))</f>
        <v/>
      </c>
    </row>
    <row r="651">
      <c r="A651" s="7" t="n"/>
      <c r="B651" s="6" t="n"/>
      <c r="C651" s="6" t="n"/>
      <c r="D651" s="6">
        <f>IF(C651="","",IFERROR(VLOOKUP(C651,Lists!$C:$D,2,FALSE),""))</f>
        <v/>
      </c>
      <c r="E651" s="6" t="n"/>
      <c r="F651" s="6" t="n"/>
      <c r="G651" s="7">
        <f>IF(A651="","",A651+(7-WEEKDAY(A651,2)))</f>
        <v/>
      </c>
      <c r="H651" s="6">
        <f>IF(OR(A651="",B651=""),"",SUMIFS($E$2:$E$1001,$A$2:$A$1001,A651,$B$2:$B$1001,B651))</f>
        <v/>
      </c>
    </row>
    <row r="652">
      <c r="A652" s="7" t="n"/>
      <c r="B652" s="6" t="n"/>
      <c r="C652" s="6" t="n"/>
      <c r="D652" s="6">
        <f>IF(C652="","",IFERROR(VLOOKUP(C652,Lists!$C:$D,2,FALSE),""))</f>
        <v/>
      </c>
      <c r="E652" s="6" t="n"/>
      <c r="F652" s="6" t="n"/>
      <c r="G652" s="7">
        <f>IF(A652="","",A652+(7-WEEKDAY(A652,2)))</f>
        <v/>
      </c>
      <c r="H652" s="6">
        <f>IF(OR(A652="",B652=""),"",SUMIFS($E$2:$E$1001,$A$2:$A$1001,A652,$B$2:$B$1001,B652))</f>
        <v/>
      </c>
    </row>
    <row r="653">
      <c r="A653" s="7" t="n"/>
      <c r="B653" s="6" t="n"/>
      <c r="C653" s="6" t="n"/>
      <c r="D653" s="6">
        <f>IF(C653="","",IFERROR(VLOOKUP(C653,Lists!$C:$D,2,FALSE),""))</f>
        <v/>
      </c>
      <c r="E653" s="6" t="n"/>
      <c r="F653" s="6" t="n"/>
      <c r="G653" s="7">
        <f>IF(A653="","",A653+(7-WEEKDAY(A653,2)))</f>
        <v/>
      </c>
      <c r="H653" s="6">
        <f>IF(OR(A653="",B653=""),"",SUMIFS($E$2:$E$1001,$A$2:$A$1001,A653,$B$2:$B$1001,B653))</f>
        <v/>
      </c>
    </row>
    <row r="654">
      <c r="A654" s="7" t="n"/>
      <c r="B654" s="6" t="n"/>
      <c r="C654" s="6" t="n"/>
      <c r="D654" s="6">
        <f>IF(C654="","",IFERROR(VLOOKUP(C654,Lists!$C:$D,2,FALSE),""))</f>
        <v/>
      </c>
      <c r="E654" s="6" t="n"/>
      <c r="F654" s="6" t="n"/>
      <c r="G654" s="7">
        <f>IF(A654="","",A654+(7-WEEKDAY(A654,2)))</f>
        <v/>
      </c>
      <c r="H654" s="6">
        <f>IF(OR(A654="",B654=""),"",SUMIFS($E$2:$E$1001,$A$2:$A$1001,A654,$B$2:$B$1001,B654))</f>
        <v/>
      </c>
    </row>
    <row r="655">
      <c r="A655" s="7" t="n"/>
      <c r="B655" s="6" t="n"/>
      <c r="C655" s="6" t="n"/>
      <c r="D655" s="6">
        <f>IF(C655="","",IFERROR(VLOOKUP(C655,Lists!$C:$D,2,FALSE),""))</f>
        <v/>
      </c>
      <c r="E655" s="6" t="n"/>
      <c r="F655" s="6" t="n"/>
      <c r="G655" s="7">
        <f>IF(A655="","",A655+(7-WEEKDAY(A655,2)))</f>
        <v/>
      </c>
      <c r="H655" s="6">
        <f>IF(OR(A655="",B655=""),"",SUMIFS($E$2:$E$1001,$A$2:$A$1001,A655,$B$2:$B$1001,B655))</f>
        <v/>
      </c>
    </row>
    <row r="656">
      <c r="A656" s="7" t="n"/>
      <c r="B656" s="6" t="n"/>
      <c r="C656" s="6" t="n"/>
      <c r="D656" s="6">
        <f>IF(C656="","",IFERROR(VLOOKUP(C656,Lists!$C:$D,2,FALSE),""))</f>
        <v/>
      </c>
      <c r="E656" s="6" t="n"/>
      <c r="F656" s="6" t="n"/>
      <c r="G656" s="7">
        <f>IF(A656="","",A656+(7-WEEKDAY(A656,2)))</f>
        <v/>
      </c>
      <c r="H656" s="6">
        <f>IF(OR(A656="",B656=""),"",SUMIFS($E$2:$E$1001,$A$2:$A$1001,A656,$B$2:$B$1001,B656))</f>
        <v/>
      </c>
    </row>
    <row r="657">
      <c r="A657" s="7" t="n"/>
      <c r="B657" s="6" t="n"/>
      <c r="C657" s="6" t="n"/>
      <c r="D657" s="6">
        <f>IF(C657="","",IFERROR(VLOOKUP(C657,Lists!$C:$D,2,FALSE),""))</f>
        <v/>
      </c>
      <c r="E657" s="6" t="n"/>
      <c r="F657" s="6" t="n"/>
      <c r="G657" s="7">
        <f>IF(A657="","",A657+(7-WEEKDAY(A657,2)))</f>
        <v/>
      </c>
      <c r="H657" s="6">
        <f>IF(OR(A657="",B657=""),"",SUMIFS($E$2:$E$1001,$A$2:$A$1001,A657,$B$2:$B$1001,B657))</f>
        <v/>
      </c>
    </row>
    <row r="658">
      <c r="A658" s="7" t="n"/>
      <c r="B658" s="6" t="n"/>
      <c r="C658" s="6" t="n"/>
      <c r="D658" s="6">
        <f>IF(C658="","",IFERROR(VLOOKUP(C658,Lists!$C:$D,2,FALSE),""))</f>
        <v/>
      </c>
      <c r="E658" s="6" t="n"/>
      <c r="F658" s="6" t="n"/>
      <c r="G658" s="7">
        <f>IF(A658="","",A658+(7-WEEKDAY(A658,2)))</f>
        <v/>
      </c>
      <c r="H658" s="6">
        <f>IF(OR(A658="",B658=""),"",SUMIFS($E$2:$E$1001,$A$2:$A$1001,A658,$B$2:$B$1001,B658))</f>
        <v/>
      </c>
    </row>
    <row r="659">
      <c r="A659" s="7" t="n"/>
      <c r="B659" s="6" t="n"/>
      <c r="C659" s="6" t="n"/>
      <c r="D659" s="6">
        <f>IF(C659="","",IFERROR(VLOOKUP(C659,Lists!$C:$D,2,FALSE),""))</f>
        <v/>
      </c>
      <c r="E659" s="6" t="n"/>
      <c r="F659" s="6" t="n"/>
      <c r="G659" s="7">
        <f>IF(A659="","",A659+(7-WEEKDAY(A659,2)))</f>
        <v/>
      </c>
      <c r="H659" s="6">
        <f>IF(OR(A659="",B659=""),"",SUMIFS($E$2:$E$1001,$A$2:$A$1001,A659,$B$2:$B$1001,B659))</f>
        <v/>
      </c>
    </row>
    <row r="660">
      <c r="A660" s="7" t="n"/>
      <c r="B660" s="6" t="n"/>
      <c r="C660" s="6" t="n"/>
      <c r="D660" s="6">
        <f>IF(C660="","",IFERROR(VLOOKUP(C660,Lists!$C:$D,2,FALSE),""))</f>
        <v/>
      </c>
      <c r="E660" s="6" t="n"/>
      <c r="F660" s="6" t="n"/>
      <c r="G660" s="7">
        <f>IF(A660="","",A660+(7-WEEKDAY(A660,2)))</f>
        <v/>
      </c>
      <c r="H660" s="6">
        <f>IF(OR(A660="",B660=""),"",SUMIFS($E$2:$E$1001,$A$2:$A$1001,A660,$B$2:$B$1001,B660))</f>
        <v/>
      </c>
    </row>
    <row r="661">
      <c r="A661" s="7" t="n"/>
      <c r="B661" s="6" t="n"/>
      <c r="C661" s="6" t="n"/>
      <c r="D661" s="6">
        <f>IF(C661="","",IFERROR(VLOOKUP(C661,Lists!$C:$D,2,FALSE),""))</f>
        <v/>
      </c>
      <c r="E661" s="6" t="n"/>
      <c r="F661" s="6" t="n"/>
      <c r="G661" s="7">
        <f>IF(A661="","",A661+(7-WEEKDAY(A661,2)))</f>
        <v/>
      </c>
      <c r="H661" s="6">
        <f>IF(OR(A661="",B661=""),"",SUMIFS($E$2:$E$1001,$A$2:$A$1001,A661,$B$2:$B$1001,B661))</f>
        <v/>
      </c>
    </row>
    <row r="662">
      <c r="A662" s="7" t="n"/>
      <c r="B662" s="6" t="n"/>
      <c r="C662" s="6" t="n"/>
      <c r="D662" s="6">
        <f>IF(C662="","",IFERROR(VLOOKUP(C662,Lists!$C:$D,2,FALSE),""))</f>
        <v/>
      </c>
      <c r="E662" s="6" t="n"/>
      <c r="F662" s="6" t="n"/>
      <c r="G662" s="7">
        <f>IF(A662="","",A662+(7-WEEKDAY(A662,2)))</f>
        <v/>
      </c>
      <c r="H662" s="6">
        <f>IF(OR(A662="",B662=""),"",SUMIFS($E$2:$E$1001,$A$2:$A$1001,A662,$B$2:$B$1001,B662))</f>
        <v/>
      </c>
    </row>
    <row r="663">
      <c r="A663" s="7" t="n"/>
      <c r="B663" s="6" t="n"/>
      <c r="C663" s="6" t="n"/>
      <c r="D663" s="6">
        <f>IF(C663="","",IFERROR(VLOOKUP(C663,Lists!$C:$D,2,FALSE),""))</f>
        <v/>
      </c>
      <c r="E663" s="6" t="n"/>
      <c r="F663" s="6" t="n"/>
      <c r="G663" s="7">
        <f>IF(A663="","",A663+(7-WEEKDAY(A663,2)))</f>
        <v/>
      </c>
      <c r="H663" s="6">
        <f>IF(OR(A663="",B663=""),"",SUMIFS($E$2:$E$1001,$A$2:$A$1001,A663,$B$2:$B$1001,B663))</f>
        <v/>
      </c>
    </row>
    <row r="664">
      <c r="A664" s="7" t="n"/>
      <c r="B664" s="6" t="n"/>
      <c r="C664" s="6" t="n"/>
      <c r="D664" s="6">
        <f>IF(C664="","",IFERROR(VLOOKUP(C664,Lists!$C:$D,2,FALSE),""))</f>
        <v/>
      </c>
      <c r="E664" s="6" t="n"/>
      <c r="F664" s="6" t="n"/>
      <c r="G664" s="7">
        <f>IF(A664="","",A664+(7-WEEKDAY(A664,2)))</f>
        <v/>
      </c>
      <c r="H664" s="6">
        <f>IF(OR(A664="",B664=""),"",SUMIFS($E$2:$E$1001,$A$2:$A$1001,A664,$B$2:$B$1001,B664))</f>
        <v/>
      </c>
    </row>
    <row r="665">
      <c r="A665" s="7" t="n"/>
      <c r="B665" s="6" t="n"/>
      <c r="C665" s="6" t="n"/>
      <c r="D665" s="6">
        <f>IF(C665="","",IFERROR(VLOOKUP(C665,Lists!$C:$D,2,FALSE),""))</f>
        <v/>
      </c>
      <c r="E665" s="6" t="n"/>
      <c r="F665" s="6" t="n"/>
      <c r="G665" s="7">
        <f>IF(A665="","",A665+(7-WEEKDAY(A665,2)))</f>
        <v/>
      </c>
      <c r="H665" s="6">
        <f>IF(OR(A665="",B665=""),"",SUMIFS($E$2:$E$1001,$A$2:$A$1001,A665,$B$2:$B$1001,B665))</f>
        <v/>
      </c>
    </row>
    <row r="666">
      <c r="A666" s="7" t="n"/>
      <c r="B666" s="6" t="n"/>
      <c r="C666" s="6" t="n"/>
      <c r="D666" s="6">
        <f>IF(C666="","",IFERROR(VLOOKUP(C666,Lists!$C:$D,2,FALSE),""))</f>
        <v/>
      </c>
      <c r="E666" s="6" t="n"/>
      <c r="F666" s="6" t="n"/>
      <c r="G666" s="7">
        <f>IF(A666="","",A666+(7-WEEKDAY(A666,2)))</f>
        <v/>
      </c>
      <c r="H666" s="6">
        <f>IF(OR(A666="",B666=""),"",SUMIFS($E$2:$E$1001,$A$2:$A$1001,A666,$B$2:$B$1001,B666))</f>
        <v/>
      </c>
    </row>
    <row r="667">
      <c r="A667" s="7" t="n"/>
      <c r="B667" s="6" t="n"/>
      <c r="C667" s="6" t="n"/>
      <c r="D667" s="6">
        <f>IF(C667="","",IFERROR(VLOOKUP(C667,Lists!$C:$D,2,FALSE),""))</f>
        <v/>
      </c>
      <c r="E667" s="6" t="n"/>
      <c r="F667" s="6" t="n"/>
      <c r="G667" s="7">
        <f>IF(A667="","",A667+(7-WEEKDAY(A667,2)))</f>
        <v/>
      </c>
      <c r="H667" s="6">
        <f>IF(OR(A667="",B667=""),"",SUMIFS($E$2:$E$1001,$A$2:$A$1001,A667,$B$2:$B$1001,B667))</f>
        <v/>
      </c>
    </row>
    <row r="668">
      <c r="A668" s="7" t="n"/>
      <c r="B668" s="6" t="n"/>
      <c r="C668" s="6" t="n"/>
      <c r="D668" s="6">
        <f>IF(C668="","",IFERROR(VLOOKUP(C668,Lists!$C:$D,2,FALSE),""))</f>
        <v/>
      </c>
      <c r="E668" s="6" t="n"/>
      <c r="F668" s="6" t="n"/>
      <c r="G668" s="7">
        <f>IF(A668="","",A668+(7-WEEKDAY(A668,2)))</f>
        <v/>
      </c>
      <c r="H668" s="6">
        <f>IF(OR(A668="",B668=""),"",SUMIFS($E$2:$E$1001,$A$2:$A$1001,A668,$B$2:$B$1001,B668))</f>
        <v/>
      </c>
    </row>
    <row r="669">
      <c r="A669" s="7" t="n"/>
      <c r="B669" s="6" t="n"/>
      <c r="C669" s="6" t="n"/>
      <c r="D669" s="6">
        <f>IF(C669="","",IFERROR(VLOOKUP(C669,Lists!$C:$D,2,FALSE),""))</f>
        <v/>
      </c>
      <c r="E669" s="6" t="n"/>
      <c r="F669" s="6" t="n"/>
      <c r="G669" s="7">
        <f>IF(A669="","",A669+(7-WEEKDAY(A669,2)))</f>
        <v/>
      </c>
      <c r="H669" s="6">
        <f>IF(OR(A669="",B669=""),"",SUMIFS($E$2:$E$1001,$A$2:$A$1001,A669,$B$2:$B$1001,B669))</f>
        <v/>
      </c>
    </row>
    <row r="670">
      <c r="A670" s="7" t="n"/>
      <c r="B670" s="6" t="n"/>
      <c r="C670" s="6" t="n"/>
      <c r="D670" s="6">
        <f>IF(C670="","",IFERROR(VLOOKUP(C670,Lists!$C:$D,2,FALSE),""))</f>
        <v/>
      </c>
      <c r="E670" s="6" t="n"/>
      <c r="F670" s="6" t="n"/>
      <c r="G670" s="7">
        <f>IF(A670="","",A670+(7-WEEKDAY(A670,2)))</f>
        <v/>
      </c>
      <c r="H670" s="6">
        <f>IF(OR(A670="",B670=""),"",SUMIFS($E$2:$E$1001,$A$2:$A$1001,A670,$B$2:$B$1001,B670))</f>
        <v/>
      </c>
    </row>
    <row r="671">
      <c r="A671" s="7" t="n"/>
      <c r="B671" s="6" t="n"/>
      <c r="C671" s="6" t="n"/>
      <c r="D671" s="6">
        <f>IF(C671="","",IFERROR(VLOOKUP(C671,Lists!$C:$D,2,FALSE),""))</f>
        <v/>
      </c>
      <c r="E671" s="6" t="n"/>
      <c r="F671" s="6" t="n"/>
      <c r="G671" s="7">
        <f>IF(A671="","",A671+(7-WEEKDAY(A671,2)))</f>
        <v/>
      </c>
      <c r="H671" s="6">
        <f>IF(OR(A671="",B671=""),"",SUMIFS($E$2:$E$1001,$A$2:$A$1001,A671,$B$2:$B$1001,B671))</f>
        <v/>
      </c>
    </row>
    <row r="672">
      <c r="A672" s="7" t="n"/>
      <c r="B672" s="6" t="n"/>
      <c r="C672" s="6" t="n"/>
      <c r="D672" s="6">
        <f>IF(C672="","",IFERROR(VLOOKUP(C672,Lists!$C:$D,2,FALSE),""))</f>
        <v/>
      </c>
      <c r="E672" s="6" t="n"/>
      <c r="F672" s="6" t="n"/>
      <c r="G672" s="7">
        <f>IF(A672="","",A672+(7-WEEKDAY(A672,2)))</f>
        <v/>
      </c>
      <c r="H672" s="6">
        <f>IF(OR(A672="",B672=""),"",SUMIFS($E$2:$E$1001,$A$2:$A$1001,A672,$B$2:$B$1001,B672))</f>
        <v/>
      </c>
    </row>
    <row r="673">
      <c r="A673" s="7" t="n"/>
      <c r="B673" s="6" t="n"/>
      <c r="C673" s="6" t="n"/>
      <c r="D673" s="6">
        <f>IF(C673="","",IFERROR(VLOOKUP(C673,Lists!$C:$D,2,FALSE),""))</f>
        <v/>
      </c>
      <c r="E673" s="6" t="n"/>
      <c r="F673" s="6" t="n"/>
      <c r="G673" s="7">
        <f>IF(A673="","",A673+(7-WEEKDAY(A673,2)))</f>
        <v/>
      </c>
      <c r="H673" s="6">
        <f>IF(OR(A673="",B673=""),"",SUMIFS($E$2:$E$1001,$A$2:$A$1001,A673,$B$2:$B$1001,B673))</f>
        <v/>
      </c>
    </row>
    <row r="674">
      <c r="A674" s="7" t="n"/>
      <c r="B674" s="6" t="n"/>
      <c r="C674" s="6" t="n"/>
      <c r="D674" s="6">
        <f>IF(C674="","",IFERROR(VLOOKUP(C674,Lists!$C:$D,2,FALSE),""))</f>
        <v/>
      </c>
      <c r="E674" s="6" t="n"/>
      <c r="F674" s="6" t="n"/>
      <c r="G674" s="7">
        <f>IF(A674="","",A674+(7-WEEKDAY(A674,2)))</f>
        <v/>
      </c>
      <c r="H674" s="6">
        <f>IF(OR(A674="",B674=""),"",SUMIFS($E$2:$E$1001,$A$2:$A$1001,A674,$B$2:$B$1001,B674))</f>
        <v/>
      </c>
    </row>
    <row r="675">
      <c r="A675" s="7" t="n"/>
      <c r="B675" s="6" t="n"/>
      <c r="C675" s="6" t="n"/>
      <c r="D675" s="6">
        <f>IF(C675="","",IFERROR(VLOOKUP(C675,Lists!$C:$D,2,FALSE),""))</f>
        <v/>
      </c>
      <c r="E675" s="6" t="n"/>
      <c r="F675" s="6" t="n"/>
      <c r="G675" s="7">
        <f>IF(A675="","",A675+(7-WEEKDAY(A675,2)))</f>
        <v/>
      </c>
      <c r="H675" s="6">
        <f>IF(OR(A675="",B675=""),"",SUMIFS($E$2:$E$1001,$A$2:$A$1001,A675,$B$2:$B$1001,B675))</f>
        <v/>
      </c>
    </row>
    <row r="676">
      <c r="A676" s="7" t="n"/>
      <c r="B676" s="6" t="n"/>
      <c r="C676" s="6" t="n"/>
      <c r="D676" s="6">
        <f>IF(C676="","",IFERROR(VLOOKUP(C676,Lists!$C:$D,2,FALSE),""))</f>
        <v/>
      </c>
      <c r="E676" s="6" t="n"/>
      <c r="F676" s="6" t="n"/>
      <c r="G676" s="7">
        <f>IF(A676="","",A676+(7-WEEKDAY(A676,2)))</f>
        <v/>
      </c>
      <c r="H676" s="6">
        <f>IF(OR(A676="",B676=""),"",SUMIFS($E$2:$E$1001,$A$2:$A$1001,A676,$B$2:$B$1001,B676))</f>
        <v/>
      </c>
    </row>
    <row r="677">
      <c r="A677" s="7" t="n"/>
      <c r="B677" s="6" t="n"/>
      <c r="C677" s="6" t="n"/>
      <c r="D677" s="6">
        <f>IF(C677="","",IFERROR(VLOOKUP(C677,Lists!$C:$D,2,FALSE),""))</f>
        <v/>
      </c>
      <c r="E677" s="6" t="n"/>
      <c r="F677" s="6" t="n"/>
      <c r="G677" s="7">
        <f>IF(A677="","",A677+(7-WEEKDAY(A677,2)))</f>
        <v/>
      </c>
      <c r="H677" s="6">
        <f>IF(OR(A677="",B677=""),"",SUMIFS($E$2:$E$1001,$A$2:$A$1001,A677,$B$2:$B$1001,B677))</f>
        <v/>
      </c>
    </row>
    <row r="678">
      <c r="A678" s="7" t="n"/>
      <c r="B678" s="6" t="n"/>
      <c r="C678" s="6" t="n"/>
      <c r="D678" s="6">
        <f>IF(C678="","",IFERROR(VLOOKUP(C678,Lists!$C:$D,2,FALSE),""))</f>
        <v/>
      </c>
      <c r="E678" s="6" t="n"/>
      <c r="F678" s="6" t="n"/>
      <c r="G678" s="7">
        <f>IF(A678="","",A678+(7-WEEKDAY(A678,2)))</f>
        <v/>
      </c>
      <c r="H678" s="6">
        <f>IF(OR(A678="",B678=""),"",SUMIFS($E$2:$E$1001,$A$2:$A$1001,A678,$B$2:$B$1001,B678))</f>
        <v/>
      </c>
    </row>
    <row r="679">
      <c r="A679" s="7" t="n"/>
      <c r="B679" s="6" t="n"/>
      <c r="C679" s="6" t="n"/>
      <c r="D679" s="6">
        <f>IF(C679="","",IFERROR(VLOOKUP(C679,Lists!$C:$D,2,FALSE),""))</f>
        <v/>
      </c>
      <c r="E679" s="6" t="n"/>
      <c r="F679" s="6" t="n"/>
      <c r="G679" s="7">
        <f>IF(A679="","",A679+(7-WEEKDAY(A679,2)))</f>
        <v/>
      </c>
      <c r="H679" s="6">
        <f>IF(OR(A679="",B679=""),"",SUMIFS($E$2:$E$1001,$A$2:$A$1001,A679,$B$2:$B$1001,B679))</f>
        <v/>
      </c>
    </row>
    <row r="680">
      <c r="A680" s="7" t="n"/>
      <c r="B680" s="6" t="n"/>
      <c r="C680" s="6" t="n"/>
      <c r="D680" s="6">
        <f>IF(C680="","",IFERROR(VLOOKUP(C680,Lists!$C:$D,2,FALSE),""))</f>
        <v/>
      </c>
      <c r="E680" s="6" t="n"/>
      <c r="F680" s="6" t="n"/>
      <c r="G680" s="7">
        <f>IF(A680="","",A680+(7-WEEKDAY(A680,2)))</f>
        <v/>
      </c>
      <c r="H680" s="6">
        <f>IF(OR(A680="",B680=""),"",SUMIFS($E$2:$E$1001,$A$2:$A$1001,A680,$B$2:$B$1001,B680))</f>
        <v/>
      </c>
    </row>
    <row r="681">
      <c r="A681" s="7" t="n"/>
      <c r="B681" s="6" t="n"/>
      <c r="C681" s="6" t="n"/>
      <c r="D681" s="6">
        <f>IF(C681="","",IFERROR(VLOOKUP(C681,Lists!$C:$D,2,FALSE),""))</f>
        <v/>
      </c>
      <c r="E681" s="6" t="n"/>
      <c r="F681" s="6" t="n"/>
      <c r="G681" s="7">
        <f>IF(A681="","",A681+(7-WEEKDAY(A681,2)))</f>
        <v/>
      </c>
      <c r="H681" s="6">
        <f>IF(OR(A681="",B681=""),"",SUMIFS($E$2:$E$1001,$A$2:$A$1001,A681,$B$2:$B$1001,B681))</f>
        <v/>
      </c>
    </row>
    <row r="682">
      <c r="A682" s="7" t="n"/>
      <c r="B682" s="6" t="n"/>
      <c r="C682" s="6" t="n"/>
      <c r="D682" s="6">
        <f>IF(C682="","",IFERROR(VLOOKUP(C682,Lists!$C:$D,2,FALSE),""))</f>
        <v/>
      </c>
      <c r="E682" s="6" t="n"/>
      <c r="F682" s="6" t="n"/>
      <c r="G682" s="7">
        <f>IF(A682="","",A682+(7-WEEKDAY(A682,2)))</f>
        <v/>
      </c>
      <c r="H682" s="6">
        <f>IF(OR(A682="",B682=""),"",SUMIFS($E$2:$E$1001,$A$2:$A$1001,A682,$B$2:$B$1001,B682))</f>
        <v/>
      </c>
    </row>
    <row r="683">
      <c r="A683" s="7" t="n"/>
      <c r="B683" s="6" t="n"/>
      <c r="C683" s="6" t="n"/>
      <c r="D683" s="6">
        <f>IF(C683="","",IFERROR(VLOOKUP(C683,Lists!$C:$D,2,FALSE),""))</f>
        <v/>
      </c>
      <c r="E683" s="6" t="n"/>
      <c r="F683" s="6" t="n"/>
      <c r="G683" s="7">
        <f>IF(A683="","",A683+(7-WEEKDAY(A683,2)))</f>
        <v/>
      </c>
      <c r="H683" s="6">
        <f>IF(OR(A683="",B683=""),"",SUMIFS($E$2:$E$1001,$A$2:$A$1001,A683,$B$2:$B$1001,B683))</f>
        <v/>
      </c>
    </row>
    <row r="684">
      <c r="A684" s="7" t="n"/>
      <c r="B684" s="6" t="n"/>
      <c r="C684" s="6" t="n"/>
      <c r="D684" s="6">
        <f>IF(C684="","",IFERROR(VLOOKUP(C684,Lists!$C:$D,2,FALSE),""))</f>
        <v/>
      </c>
      <c r="E684" s="6" t="n"/>
      <c r="F684" s="6" t="n"/>
      <c r="G684" s="7">
        <f>IF(A684="","",A684+(7-WEEKDAY(A684,2)))</f>
        <v/>
      </c>
      <c r="H684" s="6">
        <f>IF(OR(A684="",B684=""),"",SUMIFS($E$2:$E$1001,$A$2:$A$1001,A684,$B$2:$B$1001,B684))</f>
        <v/>
      </c>
    </row>
    <row r="685">
      <c r="A685" s="7" t="n"/>
      <c r="B685" s="6" t="n"/>
      <c r="C685" s="6" t="n"/>
      <c r="D685" s="6">
        <f>IF(C685="","",IFERROR(VLOOKUP(C685,Lists!$C:$D,2,FALSE),""))</f>
        <v/>
      </c>
      <c r="E685" s="6" t="n"/>
      <c r="F685" s="6" t="n"/>
      <c r="G685" s="7">
        <f>IF(A685="","",A685+(7-WEEKDAY(A685,2)))</f>
        <v/>
      </c>
      <c r="H685" s="6">
        <f>IF(OR(A685="",B685=""),"",SUMIFS($E$2:$E$1001,$A$2:$A$1001,A685,$B$2:$B$1001,B685))</f>
        <v/>
      </c>
    </row>
    <row r="686">
      <c r="A686" s="7" t="n"/>
      <c r="B686" s="6" t="n"/>
      <c r="C686" s="6" t="n"/>
      <c r="D686" s="6">
        <f>IF(C686="","",IFERROR(VLOOKUP(C686,Lists!$C:$D,2,FALSE),""))</f>
        <v/>
      </c>
      <c r="E686" s="6" t="n"/>
      <c r="F686" s="6" t="n"/>
      <c r="G686" s="7">
        <f>IF(A686="","",A686+(7-WEEKDAY(A686,2)))</f>
        <v/>
      </c>
      <c r="H686" s="6">
        <f>IF(OR(A686="",B686=""),"",SUMIFS($E$2:$E$1001,$A$2:$A$1001,A686,$B$2:$B$1001,B686))</f>
        <v/>
      </c>
    </row>
    <row r="687">
      <c r="A687" s="7" t="n"/>
      <c r="B687" s="6" t="n"/>
      <c r="C687" s="6" t="n"/>
      <c r="D687" s="6">
        <f>IF(C687="","",IFERROR(VLOOKUP(C687,Lists!$C:$D,2,FALSE),""))</f>
        <v/>
      </c>
      <c r="E687" s="6" t="n"/>
      <c r="F687" s="6" t="n"/>
      <c r="G687" s="7">
        <f>IF(A687="","",A687+(7-WEEKDAY(A687,2)))</f>
        <v/>
      </c>
      <c r="H687" s="6">
        <f>IF(OR(A687="",B687=""),"",SUMIFS($E$2:$E$1001,$A$2:$A$1001,A687,$B$2:$B$1001,B687))</f>
        <v/>
      </c>
    </row>
    <row r="688">
      <c r="A688" s="7" t="n"/>
      <c r="B688" s="6" t="n"/>
      <c r="C688" s="6" t="n"/>
      <c r="D688" s="6">
        <f>IF(C688="","",IFERROR(VLOOKUP(C688,Lists!$C:$D,2,FALSE),""))</f>
        <v/>
      </c>
      <c r="E688" s="6" t="n"/>
      <c r="F688" s="6" t="n"/>
      <c r="G688" s="7">
        <f>IF(A688="","",A688+(7-WEEKDAY(A688,2)))</f>
        <v/>
      </c>
      <c r="H688" s="6">
        <f>IF(OR(A688="",B688=""),"",SUMIFS($E$2:$E$1001,$A$2:$A$1001,A688,$B$2:$B$1001,B688))</f>
        <v/>
      </c>
    </row>
    <row r="689">
      <c r="A689" s="7" t="n"/>
      <c r="B689" s="6" t="n"/>
      <c r="C689" s="6" t="n"/>
      <c r="D689" s="6">
        <f>IF(C689="","",IFERROR(VLOOKUP(C689,Lists!$C:$D,2,FALSE),""))</f>
        <v/>
      </c>
      <c r="E689" s="6" t="n"/>
      <c r="F689" s="6" t="n"/>
      <c r="G689" s="7">
        <f>IF(A689="","",A689+(7-WEEKDAY(A689,2)))</f>
        <v/>
      </c>
      <c r="H689" s="6">
        <f>IF(OR(A689="",B689=""),"",SUMIFS($E$2:$E$1001,$A$2:$A$1001,A689,$B$2:$B$1001,B689))</f>
        <v/>
      </c>
    </row>
    <row r="690">
      <c r="A690" s="7" t="n"/>
      <c r="B690" s="6" t="n"/>
      <c r="C690" s="6" t="n"/>
      <c r="D690" s="6">
        <f>IF(C690="","",IFERROR(VLOOKUP(C690,Lists!$C:$D,2,FALSE),""))</f>
        <v/>
      </c>
      <c r="E690" s="6" t="n"/>
      <c r="F690" s="6" t="n"/>
      <c r="G690" s="7">
        <f>IF(A690="","",A690+(7-WEEKDAY(A690,2)))</f>
        <v/>
      </c>
      <c r="H690" s="6">
        <f>IF(OR(A690="",B690=""),"",SUMIFS($E$2:$E$1001,$A$2:$A$1001,A690,$B$2:$B$1001,B690))</f>
        <v/>
      </c>
    </row>
    <row r="691">
      <c r="A691" s="7" t="n"/>
      <c r="B691" s="6" t="n"/>
      <c r="C691" s="6" t="n"/>
      <c r="D691" s="6">
        <f>IF(C691="","",IFERROR(VLOOKUP(C691,Lists!$C:$D,2,FALSE),""))</f>
        <v/>
      </c>
      <c r="E691" s="6" t="n"/>
      <c r="F691" s="6" t="n"/>
      <c r="G691" s="7">
        <f>IF(A691="","",A691+(7-WEEKDAY(A691,2)))</f>
        <v/>
      </c>
      <c r="H691" s="6">
        <f>IF(OR(A691="",B691=""),"",SUMIFS($E$2:$E$1001,$A$2:$A$1001,A691,$B$2:$B$1001,B691))</f>
        <v/>
      </c>
    </row>
    <row r="692">
      <c r="A692" s="7" t="n"/>
      <c r="B692" s="6" t="n"/>
      <c r="C692" s="6" t="n"/>
      <c r="D692" s="6">
        <f>IF(C692="","",IFERROR(VLOOKUP(C692,Lists!$C:$D,2,FALSE),""))</f>
        <v/>
      </c>
      <c r="E692" s="6" t="n"/>
      <c r="F692" s="6" t="n"/>
      <c r="G692" s="7">
        <f>IF(A692="","",A692+(7-WEEKDAY(A692,2)))</f>
        <v/>
      </c>
      <c r="H692" s="6">
        <f>IF(OR(A692="",B692=""),"",SUMIFS($E$2:$E$1001,$A$2:$A$1001,A692,$B$2:$B$1001,B692))</f>
        <v/>
      </c>
    </row>
    <row r="693">
      <c r="A693" s="7" t="n"/>
      <c r="B693" s="6" t="n"/>
      <c r="C693" s="6" t="n"/>
      <c r="D693" s="6">
        <f>IF(C693="","",IFERROR(VLOOKUP(C693,Lists!$C:$D,2,FALSE),""))</f>
        <v/>
      </c>
      <c r="E693" s="6" t="n"/>
      <c r="F693" s="6" t="n"/>
      <c r="G693" s="7">
        <f>IF(A693="","",A693+(7-WEEKDAY(A693,2)))</f>
        <v/>
      </c>
      <c r="H693" s="6">
        <f>IF(OR(A693="",B693=""),"",SUMIFS($E$2:$E$1001,$A$2:$A$1001,A693,$B$2:$B$1001,B693))</f>
        <v/>
      </c>
    </row>
    <row r="694">
      <c r="A694" s="7" t="n"/>
      <c r="B694" s="6" t="n"/>
      <c r="C694" s="6" t="n"/>
      <c r="D694" s="6">
        <f>IF(C694="","",IFERROR(VLOOKUP(C694,Lists!$C:$D,2,FALSE),""))</f>
        <v/>
      </c>
      <c r="E694" s="6" t="n"/>
      <c r="F694" s="6" t="n"/>
      <c r="G694" s="7">
        <f>IF(A694="","",A694+(7-WEEKDAY(A694,2)))</f>
        <v/>
      </c>
      <c r="H694" s="6">
        <f>IF(OR(A694="",B694=""),"",SUMIFS($E$2:$E$1001,$A$2:$A$1001,A694,$B$2:$B$1001,B694))</f>
        <v/>
      </c>
    </row>
    <row r="695">
      <c r="A695" s="7" t="n"/>
      <c r="B695" s="6" t="n"/>
      <c r="C695" s="6" t="n"/>
      <c r="D695" s="6">
        <f>IF(C695="","",IFERROR(VLOOKUP(C695,Lists!$C:$D,2,FALSE),""))</f>
        <v/>
      </c>
      <c r="E695" s="6" t="n"/>
      <c r="F695" s="6" t="n"/>
      <c r="G695" s="7">
        <f>IF(A695="","",A695+(7-WEEKDAY(A695,2)))</f>
        <v/>
      </c>
      <c r="H695" s="6">
        <f>IF(OR(A695="",B695=""),"",SUMIFS($E$2:$E$1001,$A$2:$A$1001,A695,$B$2:$B$1001,B695))</f>
        <v/>
      </c>
    </row>
    <row r="696">
      <c r="A696" s="7" t="n"/>
      <c r="B696" s="6" t="n"/>
      <c r="C696" s="6" t="n"/>
      <c r="D696" s="6">
        <f>IF(C696="","",IFERROR(VLOOKUP(C696,Lists!$C:$D,2,FALSE),""))</f>
        <v/>
      </c>
      <c r="E696" s="6" t="n"/>
      <c r="F696" s="6" t="n"/>
      <c r="G696" s="7">
        <f>IF(A696="","",A696+(7-WEEKDAY(A696,2)))</f>
        <v/>
      </c>
      <c r="H696" s="6">
        <f>IF(OR(A696="",B696=""),"",SUMIFS($E$2:$E$1001,$A$2:$A$1001,A696,$B$2:$B$1001,B696))</f>
        <v/>
      </c>
    </row>
    <row r="697">
      <c r="A697" s="7" t="n"/>
      <c r="B697" s="6" t="n"/>
      <c r="C697" s="6" t="n"/>
      <c r="D697" s="6">
        <f>IF(C697="","",IFERROR(VLOOKUP(C697,Lists!$C:$D,2,FALSE),""))</f>
        <v/>
      </c>
      <c r="E697" s="6" t="n"/>
      <c r="F697" s="6" t="n"/>
      <c r="G697" s="7">
        <f>IF(A697="","",A697+(7-WEEKDAY(A697,2)))</f>
        <v/>
      </c>
      <c r="H697" s="6">
        <f>IF(OR(A697="",B697=""),"",SUMIFS($E$2:$E$1001,$A$2:$A$1001,A697,$B$2:$B$1001,B697))</f>
        <v/>
      </c>
    </row>
    <row r="698">
      <c r="A698" s="7" t="n"/>
      <c r="B698" s="6" t="n"/>
      <c r="C698" s="6" t="n"/>
      <c r="D698" s="6">
        <f>IF(C698="","",IFERROR(VLOOKUP(C698,Lists!$C:$D,2,FALSE),""))</f>
        <v/>
      </c>
      <c r="E698" s="6" t="n"/>
      <c r="F698" s="6" t="n"/>
      <c r="G698" s="7">
        <f>IF(A698="","",A698+(7-WEEKDAY(A698,2)))</f>
        <v/>
      </c>
      <c r="H698" s="6">
        <f>IF(OR(A698="",B698=""),"",SUMIFS($E$2:$E$1001,$A$2:$A$1001,A698,$B$2:$B$1001,B698))</f>
        <v/>
      </c>
    </row>
    <row r="699">
      <c r="A699" s="7" t="n"/>
      <c r="B699" s="6" t="n"/>
      <c r="C699" s="6" t="n"/>
      <c r="D699" s="6">
        <f>IF(C699="","",IFERROR(VLOOKUP(C699,Lists!$C:$D,2,FALSE),""))</f>
        <v/>
      </c>
      <c r="E699" s="6" t="n"/>
      <c r="F699" s="6" t="n"/>
      <c r="G699" s="7">
        <f>IF(A699="","",A699+(7-WEEKDAY(A699,2)))</f>
        <v/>
      </c>
      <c r="H699" s="6">
        <f>IF(OR(A699="",B699=""),"",SUMIFS($E$2:$E$1001,$A$2:$A$1001,A699,$B$2:$B$1001,B699))</f>
        <v/>
      </c>
    </row>
    <row r="700">
      <c r="A700" s="7" t="n"/>
      <c r="B700" s="6" t="n"/>
      <c r="C700" s="6" t="n"/>
      <c r="D700" s="6">
        <f>IF(C700="","",IFERROR(VLOOKUP(C700,Lists!$C:$D,2,FALSE),""))</f>
        <v/>
      </c>
      <c r="E700" s="6" t="n"/>
      <c r="F700" s="6" t="n"/>
      <c r="G700" s="7">
        <f>IF(A700="","",A700+(7-WEEKDAY(A700,2)))</f>
        <v/>
      </c>
      <c r="H700" s="6">
        <f>IF(OR(A700="",B700=""),"",SUMIFS($E$2:$E$1001,$A$2:$A$1001,A700,$B$2:$B$1001,B700))</f>
        <v/>
      </c>
    </row>
    <row r="701">
      <c r="A701" s="7" t="n"/>
      <c r="B701" s="6" t="n"/>
      <c r="C701" s="6" t="n"/>
      <c r="D701" s="6">
        <f>IF(C701="","",IFERROR(VLOOKUP(C701,Lists!$C:$D,2,FALSE),""))</f>
        <v/>
      </c>
      <c r="E701" s="6" t="n"/>
      <c r="F701" s="6" t="n"/>
      <c r="G701" s="7">
        <f>IF(A701="","",A701+(7-WEEKDAY(A701,2)))</f>
        <v/>
      </c>
      <c r="H701" s="6">
        <f>IF(OR(A701="",B701=""),"",SUMIFS($E$2:$E$1001,$A$2:$A$1001,A701,$B$2:$B$1001,B701))</f>
        <v/>
      </c>
    </row>
    <row r="702">
      <c r="A702" s="7" t="n"/>
      <c r="B702" s="6" t="n"/>
      <c r="C702" s="6" t="n"/>
      <c r="D702" s="6">
        <f>IF(C702="","",IFERROR(VLOOKUP(C702,Lists!$C:$D,2,FALSE),""))</f>
        <v/>
      </c>
      <c r="E702" s="6" t="n"/>
      <c r="F702" s="6" t="n"/>
      <c r="G702" s="7">
        <f>IF(A702="","",A702+(7-WEEKDAY(A702,2)))</f>
        <v/>
      </c>
      <c r="H702" s="6">
        <f>IF(OR(A702="",B702=""),"",SUMIFS($E$2:$E$1001,$A$2:$A$1001,A702,$B$2:$B$1001,B702))</f>
        <v/>
      </c>
    </row>
    <row r="703">
      <c r="A703" s="7" t="n"/>
      <c r="B703" s="6" t="n"/>
      <c r="C703" s="6" t="n"/>
      <c r="D703" s="6">
        <f>IF(C703="","",IFERROR(VLOOKUP(C703,Lists!$C:$D,2,FALSE),""))</f>
        <v/>
      </c>
      <c r="E703" s="6" t="n"/>
      <c r="F703" s="6" t="n"/>
      <c r="G703" s="7">
        <f>IF(A703="","",A703+(7-WEEKDAY(A703,2)))</f>
        <v/>
      </c>
      <c r="H703" s="6">
        <f>IF(OR(A703="",B703=""),"",SUMIFS($E$2:$E$1001,$A$2:$A$1001,A703,$B$2:$B$1001,B703))</f>
        <v/>
      </c>
    </row>
    <row r="704">
      <c r="A704" s="7" t="n"/>
      <c r="B704" s="6" t="n"/>
      <c r="C704" s="6" t="n"/>
      <c r="D704" s="6">
        <f>IF(C704="","",IFERROR(VLOOKUP(C704,Lists!$C:$D,2,FALSE),""))</f>
        <v/>
      </c>
      <c r="E704" s="6" t="n"/>
      <c r="F704" s="6" t="n"/>
      <c r="G704" s="7">
        <f>IF(A704="","",A704+(7-WEEKDAY(A704,2)))</f>
        <v/>
      </c>
      <c r="H704" s="6">
        <f>IF(OR(A704="",B704=""),"",SUMIFS($E$2:$E$1001,$A$2:$A$1001,A704,$B$2:$B$1001,B704))</f>
        <v/>
      </c>
    </row>
    <row r="705">
      <c r="A705" s="7" t="n"/>
      <c r="B705" s="6" t="n"/>
      <c r="C705" s="6" t="n"/>
      <c r="D705" s="6">
        <f>IF(C705="","",IFERROR(VLOOKUP(C705,Lists!$C:$D,2,FALSE),""))</f>
        <v/>
      </c>
      <c r="E705" s="6" t="n"/>
      <c r="F705" s="6" t="n"/>
      <c r="G705" s="7">
        <f>IF(A705="","",A705+(7-WEEKDAY(A705,2)))</f>
        <v/>
      </c>
      <c r="H705" s="6">
        <f>IF(OR(A705="",B705=""),"",SUMIFS($E$2:$E$1001,$A$2:$A$1001,A705,$B$2:$B$1001,B705))</f>
        <v/>
      </c>
    </row>
    <row r="706">
      <c r="A706" s="7" t="n"/>
      <c r="B706" s="6" t="n"/>
      <c r="C706" s="6" t="n"/>
      <c r="D706" s="6">
        <f>IF(C706="","",IFERROR(VLOOKUP(C706,Lists!$C:$D,2,FALSE),""))</f>
        <v/>
      </c>
      <c r="E706" s="6" t="n"/>
      <c r="F706" s="6" t="n"/>
      <c r="G706" s="7">
        <f>IF(A706="","",A706+(7-WEEKDAY(A706,2)))</f>
        <v/>
      </c>
      <c r="H706" s="6">
        <f>IF(OR(A706="",B706=""),"",SUMIFS($E$2:$E$1001,$A$2:$A$1001,A706,$B$2:$B$1001,B706))</f>
        <v/>
      </c>
    </row>
    <row r="707">
      <c r="A707" s="7" t="n"/>
      <c r="B707" s="6" t="n"/>
      <c r="C707" s="6" t="n"/>
      <c r="D707" s="6">
        <f>IF(C707="","",IFERROR(VLOOKUP(C707,Lists!$C:$D,2,FALSE),""))</f>
        <v/>
      </c>
      <c r="E707" s="6" t="n"/>
      <c r="F707" s="6" t="n"/>
      <c r="G707" s="7">
        <f>IF(A707="","",A707+(7-WEEKDAY(A707,2)))</f>
        <v/>
      </c>
      <c r="H707" s="6">
        <f>IF(OR(A707="",B707=""),"",SUMIFS($E$2:$E$1001,$A$2:$A$1001,A707,$B$2:$B$1001,B707))</f>
        <v/>
      </c>
    </row>
    <row r="708">
      <c r="A708" s="7" t="n"/>
      <c r="B708" s="6" t="n"/>
      <c r="C708" s="6" t="n"/>
      <c r="D708" s="6">
        <f>IF(C708="","",IFERROR(VLOOKUP(C708,Lists!$C:$D,2,FALSE),""))</f>
        <v/>
      </c>
      <c r="E708" s="6" t="n"/>
      <c r="F708" s="6" t="n"/>
      <c r="G708" s="7">
        <f>IF(A708="","",A708+(7-WEEKDAY(A708,2)))</f>
        <v/>
      </c>
      <c r="H708" s="6">
        <f>IF(OR(A708="",B708=""),"",SUMIFS($E$2:$E$1001,$A$2:$A$1001,A708,$B$2:$B$1001,B708))</f>
        <v/>
      </c>
    </row>
    <row r="709">
      <c r="A709" s="7" t="n"/>
      <c r="B709" s="6" t="n"/>
      <c r="C709" s="6" t="n"/>
      <c r="D709" s="6">
        <f>IF(C709="","",IFERROR(VLOOKUP(C709,Lists!$C:$D,2,FALSE),""))</f>
        <v/>
      </c>
      <c r="E709" s="6" t="n"/>
      <c r="F709" s="6" t="n"/>
      <c r="G709" s="7">
        <f>IF(A709="","",A709+(7-WEEKDAY(A709,2)))</f>
        <v/>
      </c>
      <c r="H709" s="6">
        <f>IF(OR(A709="",B709=""),"",SUMIFS($E$2:$E$1001,$A$2:$A$1001,A709,$B$2:$B$1001,B709))</f>
        <v/>
      </c>
    </row>
    <row r="710">
      <c r="A710" s="7" t="n"/>
      <c r="B710" s="6" t="n"/>
      <c r="C710" s="6" t="n"/>
      <c r="D710" s="6">
        <f>IF(C710="","",IFERROR(VLOOKUP(C710,Lists!$C:$D,2,FALSE),""))</f>
        <v/>
      </c>
      <c r="E710" s="6" t="n"/>
      <c r="F710" s="6" t="n"/>
      <c r="G710" s="7">
        <f>IF(A710="","",A710+(7-WEEKDAY(A710,2)))</f>
        <v/>
      </c>
      <c r="H710" s="6">
        <f>IF(OR(A710="",B710=""),"",SUMIFS($E$2:$E$1001,$A$2:$A$1001,A710,$B$2:$B$1001,B710))</f>
        <v/>
      </c>
    </row>
    <row r="711">
      <c r="A711" s="7" t="n"/>
      <c r="B711" s="6" t="n"/>
      <c r="C711" s="6" t="n"/>
      <c r="D711" s="6">
        <f>IF(C711="","",IFERROR(VLOOKUP(C711,Lists!$C:$D,2,FALSE),""))</f>
        <v/>
      </c>
      <c r="E711" s="6" t="n"/>
      <c r="F711" s="6" t="n"/>
      <c r="G711" s="7">
        <f>IF(A711="","",A711+(7-WEEKDAY(A711,2)))</f>
        <v/>
      </c>
      <c r="H711" s="6">
        <f>IF(OR(A711="",B711=""),"",SUMIFS($E$2:$E$1001,$A$2:$A$1001,A711,$B$2:$B$1001,B711))</f>
        <v/>
      </c>
    </row>
    <row r="712">
      <c r="A712" s="7" t="n"/>
      <c r="B712" s="6" t="n"/>
      <c r="C712" s="6" t="n"/>
      <c r="D712" s="6">
        <f>IF(C712="","",IFERROR(VLOOKUP(C712,Lists!$C:$D,2,FALSE),""))</f>
        <v/>
      </c>
      <c r="E712" s="6" t="n"/>
      <c r="F712" s="6" t="n"/>
      <c r="G712" s="7">
        <f>IF(A712="","",A712+(7-WEEKDAY(A712,2)))</f>
        <v/>
      </c>
      <c r="H712" s="6">
        <f>IF(OR(A712="",B712=""),"",SUMIFS($E$2:$E$1001,$A$2:$A$1001,A712,$B$2:$B$1001,B712))</f>
        <v/>
      </c>
    </row>
    <row r="713">
      <c r="A713" s="7" t="n"/>
      <c r="B713" s="6" t="n"/>
      <c r="C713" s="6" t="n"/>
      <c r="D713" s="6">
        <f>IF(C713="","",IFERROR(VLOOKUP(C713,Lists!$C:$D,2,FALSE),""))</f>
        <v/>
      </c>
      <c r="E713" s="6" t="n"/>
      <c r="F713" s="6" t="n"/>
      <c r="G713" s="7">
        <f>IF(A713="","",A713+(7-WEEKDAY(A713,2)))</f>
        <v/>
      </c>
      <c r="H713" s="6">
        <f>IF(OR(A713="",B713=""),"",SUMIFS($E$2:$E$1001,$A$2:$A$1001,A713,$B$2:$B$1001,B713))</f>
        <v/>
      </c>
    </row>
    <row r="714">
      <c r="A714" s="7" t="n"/>
      <c r="B714" s="6" t="n"/>
      <c r="C714" s="6" t="n"/>
      <c r="D714" s="6">
        <f>IF(C714="","",IFERROR(VLOOKUP(C714,Lists!$C:$D,2,FALSE),""))</f>
        <v/>
      </c>
      <c r="E714" s="6" t="n"/>
      <c r="F714" s="6" t="n"/>
      <c r="G714" s="7">
        <f>IF(A714="","",A714+(7-WEEKDAY(A714,2)))</f>
        <v/>
      </c>
      <c r="H714" s="6">
        <f>IF(OR(A714="",B714=""),"",SUMIFS($E$2:$E$1001,$A$2:$A$1001,A714,$B$2:$B$1001,B714))</f>
        <v/>
      </c>
    </row>
    <row r="715">
      <c r="A715" s="7" t="n"/>
      <c r="B715" s="6" t="n"/>
      <c r="C715" s="6" t="n"/>
      <c r="D715" s="6">
        <f>IF(C715="","",IFERROR(VLOOKUP(C715,Lists!$C:$D,2,FALSE),""))</f>
        <v/>
      </c>
      <c r="E715" s="6" t="n"/>
      <c r="F715" s="6" t="n"/>
      <c r="G715" s="7">
        <f>IF(A715="","",A715+(7-WEEKDAY(A715,2)))</f>
        <v/>
      </c>
      <c r="H715" s="6">
        <f>IF(OR(A715="",B715=""),"",SUMIFS($E$2:$E$1001,$A$2:$A$1001,A715,$B$2:$B$1001,B715))</f>
        <v/>
      </c>
    </row>
    <row r="716">
      <c r="A716" s="7" t="n"/>
      <c r="B716" s="6" t="n"/>
      <c r="C716" s="6" t="n"/>
      <c r="D716" s="6">
        <f>IF(C716="","",IFERROR(VLOOKUP(C716,Lists!$C:$D,2,FALSE),""))</f>
        <v/>
      </c>
      <c r="E716" s="6" t="n"/>
      <c r="F716" s="6" t="n"/>
      <c r="G716" s="7">
        <f>IF(A716="","",A716+(7-WEEKDAY(A716,2)))</f>
        <v/>
      </c>
      <c r="H716" s="6">
        <f>IF(OR(A716="",B716=""),"",SUMIFS($E$2:$E$1001,$A$2:$A$1001,A716,$B$2:$B$1001,B716))</f>
        <v/>
      </c>
    </row>
    <row r="717">
      <c r="A717" s="7" t="n"/>
      <c r="B717" s="6" t="n"/>
      <c r="C717" s="6" t="n"/>
      <c r="D717" s="6">
        <f>IF(C717="","",IFERROR(VLOOKUP(C717,Lists!$C:$D,2,FALSE),""))</f>
        <v/>
      </c>
      <c r="E717" s="6" t="n"/>
      <c r="F717" s="6" t="n"/>
      <c r="G717" s="7">
        <f>IF(A717="","",A717+(7-WEEKDAY(A717,2)))</f>
        <v/>
      </c>
      <c r="H717" s="6">
        <f>IF(OR(A717="",B717=""),"",SUMIFS($E$2:$E$1001,$A$2:$A$1001,A717,$B$2:$B$1001,B717))</f>
        <v/>
      </c>
    </row>
    <row r="718">
      <c r="A718" s="7" t="n"/>
      <c r="B718" s="6" t="n"/>
      <c r="C718" s="6" t="n"/>
      <c r="D718" s="6">
        <f>IF(C718="","",IFERROR(VLOOKUP(C718,Lists!$C:$D,2,FALSE),""))</f>
        <v/>
      </c>
      <c r="E718" s="6" t="n"/>
      <c r="F718" s="6" t="n"/>
      <c r="G718" s="7">
        <f>IF(A718="","",A718+(7-WEEKDAY(A718,2)))</f>
        <v/>
      </c>
      <c r="H718" s="6">
        <f>IF(OR(A718="",B718=""),"",SUMIFS($E$2:$E$1001,$A$2:$A$1001,A718,$B$2:$B$1001,B718))</f>
        <v/>
      </c>
    </row>
    <row r="719">
      <c r="A719" s="7" t="n"/>
      <c r="B719" s="6" t="n"/>
      <c r="C719" s="6" t="n"/>
      <c r="D719" s="6">
        <f>IF(C719="","",IFERROR(VLOOKUP(C719,Lists!$C:$D,2,FALSE),""))</f>
        <v/>
      </c>
      <c r="E719" s="6" t="n"/>
      <c r="F719" s="6" t="n"/>
      <c r="G719" s="7">
        <f>IF(A719="","",A719+(7-WEEKDAY(A719,2)))</f>
        <v/>
      </c>
      <c r="H719" s="6">
        <f>IF(OR(A719="",B719=""),"",SUMIFS($E$2:$E$1001,$A$2:$A$1001,A719,$B$2:$B$1001,B719))</f>
        <v/>
      </c>
    </row>
    <row r="720">
      <c r="A720" s="7" t="n"/>
      <c r="B720" s="6" t="n"/>
      <c r="C720" s="6" t="n"/>
      <c r="D720" s="6">
        <f>IF(C720="","",IFERROR(VLOOKUP(C720,Lists!$C:$D,2,FALSE),""))</f>
        <v/>
      </c>
      <c r="E720" s="6" t="n"/>
      <c r="F720" s="6" t="n"/>
      <c r="G720" s="7">
        <f>IF(A720="","",A720+(7-WEEKDAY(A720,2)))</f>
        <v/>
      </c>
      <c r="H720" s="6">
        <f>IF(OR(A720="",B720=""),"",SUMIFS($E$2:$E$1001,$A$2:$A$1001,A720,$B$2:$B$1001,B720))</f>
        <v/>
      </c>
    </row>
    <row r="721">
      <c r="A721" s="7" t="n"/>
      <c r="B721" s="6" t="n"/>
      <c r="C721" s="6" t="n"/>
      <c r="D721" s="6">
        <f>IF(C721="","",IFERROR(VLOOKUP(C721,Lists!$C:$D,2,FALSE),""))</f>
        <v/>
      </c>
      <c r="E721" s="6" t="n"/>
      <c r="F721" s="6" t="n"/>
      <c r="G721" s="7">
        <f>IF(A721="","",A721+(7-WEEKDAY(A721,2)))</f>
        <v/>
      </c>
      <c r="H721" s="6">
        <f>IF(OR(A721="",B721=""),"",SUMIFS($E$2:$E$1001,$A$2:$A$1001,A721,$B$2:$B$1001,B721))</f>
        <v/>
      </c>
    </row>
    <row r="722">
      <c r="A722" s="7" t="n"/>
      <c r="B722" s="6" t="n"/>
      <c r="C722" s="6" t="n"/>
      <c r="D722" s="6">
        <f>IF(C722="","",IFERROR(VLOOKUP(C722,Lists!$C:$D,2,FALSE),""))</f>
        <v/>
      </c>
      <c r="E722" s="6" t="n"/>
      <c r="F722" s="6" t="n"/>
      <c r="G722" s="7">
        <f>IF(A722="","",A722+(7-WEEKDAY(A722,2)))</f>
        <v/>
      </c>
      <c r="H722" s="6">
        <f>IF(OR(A722="",B722=""),"",SUMIFS($E$2:$E$1001,$A$2:$A$1001,A722,$B$2:$B$1001,B722))</f>
        <v/>
      </c>
    </row>
    <row r="723">
      <c r="A723" s="7" t="n"/>
      <c r="B723" s="6" t="n"/>
      <c r="C723" s="6" t="n"/>
      <c r="D723" s="6">
        <f>IF(C723="","",IFERROR(VLOOKUP(C723,Lists!$C:$D,2,FALSE),""))</f>
        <v/>
      </c>
      <c r="E723" s="6" t="n"/>
      <c r="F723" s="6" t="n"/>
      <c r="G723" s="7">
        <f>IF(A723="","",A723+(7-WEEKDAY(A723,2)))</f>
        <v/>
      </c>
      <c r="H723" s="6">
        <f>IF(OR(A723="",B723=""),"",SUMIFS($E$2:$E$1001,$A$2:$A$1001,A723,$B$2:$B$1001,B723))</f>
        <v/>
      </c>
    </row>
    <row r="724">
      <c r="A724" s="7" t="n"/>
      <c r="B724" s="6" t="n"/>
      <c r="C724" s="6" t="n"/>
      <c r="D724" s="6">
        <f>IF(C724="","",IFERROR(VLOOKUP(C724,Lists!$C:$D,2,FALSE),""))</f>
        <v/>
      </c>
      <c r="E724" s="6" t="n"/>
      <c r="F724" s="6" t="n"/>
      <c r="G724" s="7">
        <f>IF(A724="","",A724+(7-WEEKDAY(A724,2)))</f>
        <v/>
      </c>
      <c r="H724" s="6">
        <f>IF(OR(A724="",B724=""),"",SUMIFS($E$2:$E$1001,$A$2:$A$1001,A724,$B$2:$B$1001,B724))</f>
        <v/>
      </c>
    </row>
    <row r="725">
      <c r="A725" s="7" t="n"/>
      <c r="B725" s="6" t="n"/>
      <c r="C725" s="6" t="n"/>
      <c r="D725" s="6">
        <f>IF(C725="","",IFERROR(VLOOKUP(C725,Lists!$C:$D,2,FALSE),""))</f>
        <v/>
      </c>
      <c r="E725" s="6" t="n"/>
      <c r="F725" s="6" t="n"/>
      <c r="G725" s="7">
        <f>IF(A725="","",A725+(7-WEEKDAY(A725,2)))</f>
        <v/>
      </c>
      <c r="H725" s="6">
        <f>IF(OR(A725="",B725=""),"",SUMIFS($E$2:$E$1001,$A$2:$A$1001,A725,$B$2:$B$1001,B725))</f>
        <v/>
      </c>
    </row>
    <row r="726">
      <c r="A726" s="7" t="n"/>
      <c r="B726" s="6" t="n"/>
      <c r="C726" s="6" t="n"/>
      <c r="D726" s="6">
        <f>IF(C726="","",IFERROR(VLOOKUP(C726,Lists!$C:$D,2,FALSE),""))</f>
        <v/>
      </c>
      <c r="E726" s="6" t="n"/>
      <c r="F726" s="6" t="n"/>
      <c r="G726" s="7">
        <f>IF(A726="","",A726+(7-WEEKDAY(A726,2)))</f>
        <v/>
      </c>
      <c r="H726" s="6">
        <f>IF(OR(A726="",B726=""),"",SUMIFS($E$2:$E$1001,$A$2:$A$1001,A726,$B$2:$B$1001,B726))</f>
        <v/>
      </c>
    </row>
    <row r="727">
      <c r="A727" s="7" t="n"/>
      <c r="B727" s="6" t="n"/>
      <c r="C727" s="6" t="n"/>
      <c r="D727" s="6">
        <f>IF(C727="","",IFERROR(VLOOKUP(C727,Lists!$C:$D,2,FALSE),""))</f>
        <v/>
      </c>
      <c r="E727" s="6" t="n"/>
      <c r="F727" s="6" t="n"/>
      <c r="G727" s="7">
        <f>IF(A727="","",A727+(7-WEEKDAY(A727,2)))</f>
        <v/>
      </c>
      <c r="H727" s="6">
        <f>IF(OR(A727="",B727=""),"",SUMIFS($E$2:$E$1001,$A$2:$A$1001,A727,$B$2:$B$1001,B727))</f>
        <v/>
      </c>
    </row>
    <row r="728">
      <c r="A728" s="7" t="n"/>
      <c r="B728" s="6" t="n"/>
      <c r="C728" s="6" t="n"/>
      <c r="D728" s="6">
        <f>IF(C728="","",IFERROR(VLOOKUP(C728,Lists!$C:$D,2,FALSE),""))</f>
        <v/>
      </c>
      <c r="E728" s="6" t="n"/>
      <c r="F728" s="6" t="n"/>
      <c r="G728" s="7">
        <f>IF(A728="","",A728+(7-WEEKDAY(A728,2)))</f>
        <v/>
      </c>
      <c r="H728" s="6">
        <f>IF(OR(A728="",B728=""),"",SUMIFS($E$2:$E$1001,$A$2:$A$1001,A728,$B$2:$B$1001,B728))</f>
        <v/>
      </c>
    </row>
    <row r="729">
      <c r="A729" s="7" t="n"/>
      <c r="B729" s="6" t="n"/>
      <c r="C729" s="6" t="n"/>
      <c r="D729" s="6">
        <f>IF(C729="","",IFERROR(VLOOKUP(C729,Lists!$C:$D,2,FALSE),""))</f>
        <v/>
      </c>
      <c r="E729" s="6" t="n"/>
      <c r="F729" s="6" t="n"/>
      <c r="G729" s="7">
        <f>IF(A729="","",A729+(7-WEEKDAY(A729,2)))</f>
        <v/>
      </c>
      <c r="H729" s="6">
        <f>IF(OR(A729="",B729=""),"",SUMIFS($E$2:$E$1001,$A$2:$A$1001,A729,$B$2:$B$1001,B729))</f>
        <v/>
      </c>
    </row>
    <row r="730">
      <c r="A730" s="7" t="n"/>
      <c r="B730" s="6" t="n"/>
      <c r="C730" s="6" t="n"/>
      <c r="D730" s="6">
        <f>IF(C730="","",IFERROR(VLOOKUP(C730,Lists!$C:$D,2,FALSE),""))</f>
        <v/>
      </c>
      <c r="E730" s="6" t="n"/>
      <c r="F730" s="6" t="n"/>
      <c r="G730" s="7">
        <f>IF(A730="","",A730+(7-WEEKDAY(A730,2)))</f>
        <v/>
      </c>
      <c r="H730" s="6">
        <f>IF(OR(A730="",B730=""),"",SUMIFS($E$2:$E$1001,$A$2:$A$1001,A730,$B$2:$B$1001,B730))</f>
        <v/>
      </c>
    </row>
    <row r="731">
      <c r="A731" s="7" t="n"/>
      <c r="B731" s="6" t="n"/>
      <c r="C731" s="6" t="n"/>
      <c r="D731" s="6">
        <f>IF(C731="","",IFERROR(VLOOKUP(C731,Lists!$C:$D,2,FALSE),""))</f>
        <v/>
      </c>
      <c r="E731" s="6" t="n"/>
      <c r="F731" s="6" t="n"/>
      <c r="G731" s="7">
        <f>IF(A731="","",A731+(7-WEEKDAY(A731,2)))</f>
        <v/>
      </c>
      <c r="H731" s="6">
        <f>IF(OR(A731="",B731=""),"",SUMIFS($E$2:$E$1001,$A$2:$A$1001,A731,$B$2:$B$1001,B731))</f>
        <v/>
      </c>
    </row>
    <row r="732">
      <c r="A732" s="7" t="n"/>
      <c r="B732" s="6" t="n"/>
      <c r="C732" s="6" t="n"/>
      <c r="D732" s="6">
        <f>IF(C732="","",IFERROR(VLOOKUP(C732,Lists!$C:$D,2,FALSE),""))</f>
        <v/>
      </c>
      <c r="E732" s="6" t="n"/>
      <c r="F732" s="6" t="n"/>
      <c r="G732" s="7">
        <f>IF(A732="","",A732+(7-WEEKDAY(A732,2)))</f>
        <v/>
      </c>
      <c r="H732" s="6">
        <f>IF(OR(A732="",B732=""),"",SUMIFS($E$2:$E$1001,$A$2:$A$1001,A732,$B$2:$B$1001,B732))</f>
        <v/>
      </c>
    </row>
    <row r="733">
      <c r="A733" s="7" t="n"/>
      <c r="B733" s="6" t="n"/>
      <c r="C733" s="6" t="n"/>
      <c r="D733" s="6">
        <f>IF(C733="","",IFERROR(VLOOKUP(C733,Lists!$C:$D,2,FALSE),""))</f>
        <v/>
      </c>
      <c r="E733" s="6" t="n"/>
      <c r="F733" s="6" t="n"/>
      <c r="G733" s="7">
        <f>IF(A733="","",A733+(7-WEEKDAY(A733,2)))</f>
        <v/>
      </c>
      <c r="H733" s="6">
        <f>IF(OR(A733="",B733=""),"",SUMIFS($E$2:$E$1001,$A$2:$A$1001,A733,$B$2:$B$1001,B733))</f>
        <v/>
      </c>
    </row>
    <row r="734">
      <c r="A734" s="7" t="n"/>
      <c r="B734" s="6" t="n"/>
      <c r="C734" s="6" t="n"/>
      <c r="D734" s="6">
        <f>IF(C734="","",IFERROR(VLOOKUP(C734,Lists!$C:$D,2,FALSE),""))</f>
        <v/>
      </c>
      <c r="E734" s="6" t="n"/>
      <c r="F734" s="6" t="n"/>
      <c r="G734" s="7">
        <f>IF(A734="","",A734+(7-WEEKDAY(A734,2)))</f>
        <v/>
      </c>
      <c r="H734" s="6">
        <f>IF(OR(A734="",B734=""),"",SUMIFS($E$2:$E$1001,$A$2:$A$1001,A734,$B$2:$B$1001,B734))</f>
        <v/>
      </c>
    </row>
    <row r="735">
      <c r="A735" s="7" t="n"/>
      <c r="B735" s="6" t="n"/>
      <c r="C735" s="6" t="n"/>
      <c r="D735" s="6">
        <f>IF(C735="","",IFERROR(VLOOKUP(C735,Lists!$C:$D,2,FALSE),""))</f>
        <v/>
      </c>
      <c r="E735" s="6" t="n"/>
      <c r="F735" s="6" t="n"/>
      <c r="G735" s="7">
        <f>IF(A735="","",A735+(7-WEEKDAY(A735,2)))</f>
        <v/>
      </c>
      <c r="H735" s="6">
        <f>IF(OR(A735="",B735=""),"",SUMIFS($E$2:$E$1001,$A$2:$A$1001,A735,$B$2:$B$1001,B735))</f>
        <v/>
      </c>
    </row>
    <row r="736">
      <c r="A736" s="7" t="n"/>
      <c r="B736" s="6" t="n"/>
      <c r="C736" s="6" t="n"/>
      <c r="D736" s="6">
        <f>IF(C736="","",IFERROR(VLOOKUP(C736,Lists!$C:$D,2,FALSE),""))</f>
        <v/>
      </c>
      <c r="E736" s="6" t="n"/>
      <c r="F736" s="6" t="n"/>
      <c r="G736" s="7">
        <f>IF(A736="","",A736+(7-WEEKDAY(A736,2)))</f>
        <v/>
      </c>
      <c r="H736" s="6">
        <f>IF(OR(A736="",B736=""),"",SUMIFS($E$2:$E$1001,$A$2:$A$1001,A736,$B$2:$B$1001,B736))</f>
        <v/>
      </c>
    </row>
    <row r="737">
      <c r="A737" s="7" t="n"/>
      <c r="B737" s="6" t="n"/>
      <c r="C737" s="6" t="n"/>
      <c r="D737" s="6">
        <f>IF(C737="","",IFERROR(VLOOKUP(C737,Lists!$C:$D,2,FALSE),""))</f>
        <v/>
      </c>
      <c r="E737" s="6" t="n"/>
      <c r="F737" s="6" t="n"/>
      <c r="G737" s="7">
        <f>IF(A737="","",A737+(7-WEEKDAY(A737,2)))</f>
        <v/>
      </c>
      <c r="H737" s="6">
        <f>IF(OR(A737="",B737=""),"",SUMIFS($E$2:$E$1001,$A$2:$A$1001,A737,$B$2:$B$1001,B737))</f>
        <v/>
      </c>
    </row>
    <row r="738">
      <c r="A738" s="7" t="n"/>
      <c r="B738" s="6" t="n"/>
      <c r="C738" s="6" t="n"/>
      <c r="D738" s="6">
        <f>IF(C738="","",IFERROR(VLOOKUP(C738,Lists!$C:$D,2,FALSE),""))</f>
        <v/>
      </c>
      <c r="E738" s="6" t="n"/>
      <c r="F738" s="6" t="n"/>
      <c r="G738" s="7">
        <f>IF(A738="","",A738+(7-WEEKDAY(A738,2)))</f>
        <v/>
      </c>
      <c r="H738" s="6">
        <f>IF(OR(A738="",B738=""),"",SUMIFS($E$2:$E$1001,$A$2:$A$1001,A738,$B$2:$B$1001,B738))</f>
        <v/>
      </c>
    </row>
    <row r="739">
      <c r="A739" s="7" t="n"/>
      <c r="B739" s="6" t="n"/>
      <c r="C739" s="6" t="n"/>
      <c r="D739" s="6">
        <f>IF(C739="","",IFERROR(VLOOKUP(C739,Lists!$C:$D,2,FALSE),""))</f>
        <v/>
      </c>
      <c r="E739" s="6" t="n"/>
      <c r="F739" s="6" t="n"/>
      <c r="G739" s="7">
        <f>IF(A739="","",A739+(7-WEEKDAY(A739,2)))</f>
        <v/>
      </c>
      <c r="H739" s="6">
        <f>IF(OR(A739="",B739=""),"",SUMIFS($E$2:$E$1001,$A$2:$A$1001,A739,$B$2:$B$1001,B739))</f>
        <v/>
      </c>
    </row>
    <row r="740">
      <c r="A740" s="7" t="n"/>
      <c r="B740" s="6" t="n"/>
      <c r="C740" s="6" t="n"/>
      <c r="D740" s="6">
        <f>IF(C740="","",IFERROR(VLOOKUP(C740,Lists!$C:$D,2,FALSE),""))</f>
        <v/>
      </c>
      <c r="E740" s="6" t="n"/>
      <c r="F740" s="6" t="n"/>
      <c r="G740" s="7">
        <f>IF(A740="","",A740+(7-WEEKDAY(A740,2)))</f>
        <v/>
      </c>
      <c r="H740" s="6">
        <f>IF(OR(A740="",B740=""),"",SUMIFS($E$2:$E$1001,$A$2:$A$1001,A740,$B$2:$B$1001,B740))</f>
        <v/>
      </c>
    </row>
    <row r="741">
      <c r="A741" s="7" t="n"/>
      <c r="B741" s="6" t="n"/>
      <c r="C741" s="6" t="n"/>
      <c r="D741" s="6">
        <f>IF(C741="","",IFERROR(VLOOKUP(C741,Lists!$C:$D,2,FALSE),""))</f>
        <v/>
      </c>
      <c r="E741" s="6" t="n"/>
      <c r="F741" s="6" t="n"/>
      <c r="G741" s="7">
        <f>IF(A741="","",A741+(7-WEEKDAY(A741,2)))</f>
        <v/>
      </c>
      <c r="H741" s="6">
        <f>IF(OR(A741="",B741=""),"",SUMIFS($E$2:$E$1001,$A$2:$A$1001,A741,$B$2:$B$1001,B741))</f>
        <v/>
      </c>
    </row>
    <row r="742">
      <c r="A742" s="7" t="n"/>
      <c r="B742" s="6" t="n"/>
      <c r="C742" s="6" t="n"/>
      <c r="D742" s="6">
        <f>IF(C742="","",IFERROR(VLOOKUP(C742,Lists!$C:$D,2,FALSE),""))</f>
        <v/>
      </c>
      <c r="E742" s="6" t="n"/>
      <c r="F742" s="6" t="n"/>
      <c r="G742" s="7">
        <f>IF(A742="","",A742+(7-WEEKDAY(A742,2)))</f>
        <v/>
      </c>
      <c r="H742" s="6">
        <f>IF(OR(A742="",B742=""),"",SUMIFS($E$2:$E$1001,$A$2:$A$1001,A742,$B$2:$B$1001,B742))</f>
        <v/>
      </c>
    </row>
    <row r="743">
      <c r="A743" s="7" t="n"/>
      <c r="B743" s="6" t="n"/>
      <c r="C743" s="6" t="n"/>
      <c r="D743" s="6">
        <f>IF(C743="","",IFERROR(VLOOKUP(C743,Lists!$C:$D,2,FALSE),""))</f>
        <v/>
      </c>
      <c r="E743" s="6" t="n"/>
      <c r="F743" s="6" t="n"/>
      <c r="G743" s="7">
        <f>IF(A743="","",A743+(7-WEEKDAY(A743,2)))</f>
        <v/>
      </c>
      <c r="H743" s="6">
        <f>IF(OR(A743="",B743=""),"",SUMIFS($E$2:$E$1001,$A$2:$A$1001,A743,$B$2:$B$1001,B743))</f>
        <v/>
      </c>
    </row>
    <row r="744">
      <c r="A744" s="7" t="n"/>
      <c r="B744" s="6" t="n"/>
      <c r="C744" s="6" t="n"/>
      <c r="D744" s="6">
        <f>IF(C744="","",IFERROR(VLOOKUP(C744,Lists!$C:$D,2,FALSE),""))</f>
        <v/>
      </c>
      <c r="E744" s="6" t="n"/>
      <c r="F744" s="6" t="n"/>
      <c r="G744" s="7">
        <f>IF(A744="","",A744+(7-WEEKDAY(A744,2)))</f>
        <v/>
      </c>
      <c r="H744" s="6">
        <f>IF(OR(A744="",B744=""),"",SUMIFS($E$2:$E$1001,$A$2:$A$1001,A744,$B$2:$B$1001,B744))</f>
        <v/>
      </c>
    </row>
    <row r="745">
      <c r="A745" s="7" t="n"/>
      <c r="B745" s="6" t="n"/>
      <c r="C745" s="6" t="n"/>
      <c r="D745" s="6">
        <f>IF(C745="","",IFERROR(VLOOKUP(C745,Lists!$C:$D,2,FALSE),""))</f>
        <v/>
      </c>
      <c r="E745" s="6" t="n"/>
      <c r="F745" s="6" t="n"/>
      <c r="G745" s="7">
        <f>IF(A745="","",A745+(7-WEEKDAY(A745,2)))</f>
        <v/>
      </c>
      <c r="H745" s="6">
        <f>IF(OR(A745="",B745=""),"",SUMIFS($E$2:$E$1001,$A$2:$A$1001,A745,$B$2:$B$1001,B745))</f>
        <v/>
      </c>
    </row>
    <row r="746">
      <c r="A746" s="7" t="n"/>
      <c r="B746" s="6" t="n"/>
      <c r="C746" s="6" t="n"/>
      <c r="D746" s="6">
        <f>IF(C746="","",IFERROR(VLOOKUP(C746,Lists!$C:$D,2,FALSE),""))</f>
        <v/>
      </c>
      <c r="E746" s="6" t="n"/>
      <c r="F746" s="6" t="n"/>
      <c r="G746" s="7">
        <f>IF(A746="","",A746+(7-WEEKDAY(A746,2)))</f>
        <v/>
      </c>
      <c r="H746" s="6">
        <f>IF(OR(A746="",B746=""),"",SUMIFS($E$2:$E$1001,$A$2:$A$1001,A746,$B$2:$B$1001,B746))</f>
        <v/>
      </c>
    </row>
    <row r="747">
      <c r="A747" s="7" t="n"/>
      <c r="B747" s="6" t="n"/>
      <c r="C747" s="6" t="n"/>
      <c r="D747" s="6">
        <f>IF(C747="","",IFERROR(VLOOKUP(C747,Lists!$C:$D,2,FALSE),""))</f>
        <v/>
      </c>
      <c r="E747" s="6" t="n"/>
      <c r="F747" s="6" t="n"/>
      <c r="G747" s="7">
        <f>IF(A747="","",A747+(7-WEEKDAY(A747,2)))</f>
        <v/>
      </c>
      <c r="H747" s="6">
        <f>IF(OR(A747="",B747=""),"",SUMIFS($E$2:$E$1001,$A$2:$A$1001,A747,$B$2:$B$1001,B747))</f>
        <v/>
      </c>
    </row>
    <row r="748">
      <c r="A748" s="7" t="n"/>
      <c r="B748" s="6" t="n"/>
      <c r="C748" s="6" t="n"/>
      <c r="D748" s="6">
        <f>IF(C748="","",IFERROR(VLOOKUP(C748,Lists!$C:$D,2,FALSE),""))</f>
        <v/>
      </c>
      <c r="E748" s="6" t="n"/>
      <c r="F748" s="6" t="n"/>
      <c r="G748" s="7">
        <f>IF(A748="","",A748+(7-WEEKDAY(A748,2)))</f>
        <v/>
      </c>
      <c r="H748" s="6">
        <f>IF(OR(A748="",B748=""),"",SUMIFS($E$2:$E$1001,$A$2:$A$1001,A748,$B$2:$B$1001,B748))</f>
        <v/>
      </c>
    </row>
    <row r="749">
      <c r="A749" s="7" t="n"/>
      <c r="B749" s="6" t="n"/>
      <c r="C749" s="6" t="n"/>
      <c r="D749" s="6">
        <f>IF(C749="","",IFERROR(VLOOKUP(C749,Lists!$C:$D,2,FALSE),""))</f>
        <v/>
      </c>
      <c r="E749" s="6" t="n"/>
      <c r="F749" s="6" t="n"/>
      <c r="G749" s="7">
        <f>IF(A749="","",A749+(7-WEEKDAY(A749,2)))</f>
        <v/>
      </c>
      <c r="H749" s="6">
        <f>IF(OR(A749="",B749=""),"",SUMIFS($E$2:$E$1001,$A$2:$A$1001,A749,$B$2:$B$1001,B749))</f>
        <v/>
      </c>
    </row>
    <row r="750">
      <c r="A750" s="7" t="n"/>
      <c r="B750" s="6" t="n"/>
      <c r="C750" s="6" t="n"/>
      <c r="D750" s="6">
        <f>IF(C750="","",IFERROR(VLOOKUP(C750,Lists!$C:$D,2,FALSE),""))</f>
        <v/>
      </c>
      <c r="E750" s="6" t="n"/>
      <c r="F750" s="6" t="n"/>
      <c r="G750" s="7">
        <f>IF(A750="","",A750+(7-WEEKDAY(A750,2)))</f>
        <v/>
      </c>
      <c r="H750" s="6">
        <f>IF(OR(A750="",B750=""),"",SUMIFS($E$2:$E$1001,$A$2:$A$1001,A750,$B$2:$B$1001,B750))</f>
        <v/>
      </c>
    </row>
    <row r="751">
      <c r="A751" s="7" t="n"/>
      <c r="B751" s="6" t="n"/>
      <c r="C751" s="6" t="n"/>
      <c r="D751" s="6">
        <f>IF(C751="","",IFERROR(VLOOKUP(C751,Lists!$C:$D,2,FALSE),""))</f>
        <v/>
      </c>
      <c r="E751" s="6" t="n"/>
      <c r="F751" s="6" t="n"/>
      <c r="G751" s="7">
        <f>IF(A751="","",A751+(7-WEEKDAY(A751,2)))</f>
        <v/>
      </c>
      <c r="H751" s="6">
        <f>IF(OR(A751="",B751=""),"",SUMIFS($E$2:$E$1001,$A$2:$A$1001,A751,$B$2:$B$1001,B751))</f>
        <v/>
      </c>
    </row>
    <row r="752">
      <c r="A752" s="7" t="n"/>
      <c r="B752" s="6" t="n"/>
      <c r="C752" s="6" t="n"/>
      <c r="D752" s="6">
        <f>IF(C752="","",IFERROR(VLOOKUP(C752,Lists!$C:$D,2,FALSE),""))</f>
        <v/>
      </c>
      <c r="E752" s="6" t="n"/>
      <c r="F752" s="6" t="n"/>
      <c r="G752" s="7">
        <f>IF(A752="","",A752+(7-WEEKDAY(A752,2)))</f>
        <v/>
      </c>
      <c r="H752" s="6">
        <f>IF(OR(A752="",B752=""),"",SUMIFS($E$2:$E$1001,$A$2:$A$1001,A752,$B$2:$B$1001,B752))</f>
        <v/>
      </c>
    </row>
    <row r="753">
      <c r="A753" s="7" t="n"/>
      <c r="B753" s="6" t="n"/>
      <c r="C753" s="6" t="n"/>
      <c r="D753" s="6">
        <f>IF(C753="","",IFERROR(VLOOKUP(C753,Lists!$C:$D,2,FALSE),""))</f>
        <v/>
      </c>
      <c r="E753" s="6" t="n"/>
      <c r="F753" s="6" t="n"/>
      <c r="G753" s="7">
        <f>IF(A753="","",A753+(7-WEEKDAY(A753,2)))</f>
        <v/>
      </c>
      <c r="H753" s="6">
        <f>IF(OR(A753="",B753=""),"",SUMIFS($E$2:$E$1001,$A$2:$A$1001,A753,$B$2:$B$1001,B753))</f>
        <v/>
      </c>
    </row>
    <row r="754">
      <c r="A754" s="7" t="n"/>
      <c r="B754" s="6" t="n"/>
      <c r="C754" s="6" t="n"/>
      <c r="D754" s="6">
        <f>IF(C754="","",IFERROR(VLOOKUP(C754,Lists!$C:$D,2,FALSE),""))</f>
        <v/>
      </c>
      <c r="E754" s="6" t="n"/>
      <c r="F754" s="6" t="n"/>
      <c r="G754" s="7">
        <f>IF(A754="","",A754+(7-WEEKDAY(A754,2)))</f>
        <v/>
      </c>
      <c r="H754" s="6">
        <f>IF(OR(A754="",B754=""),"",SUMIFS($E$2:$E$1001,$A$2:$A$1001,A754,$B$2:$B$1001,B754))</f>
        <v/>
      </c>
    </row>
    <row r="755">
      <c r="A755" s="7" t="n"/>
      <c r="B755" s="6" t="n"/>
      <c r="C755" s="6" t="n"/>
      <c r="D755" s="6">
        <f>IF(C755="","",IFERROR(VLOOKUP(C755,Lists!$C:$D,2,FALSE),""))</f>
        <v/>
      </c>
      <c r="E755" s="6" t="n"/>
      <c r="F755" s="6" t="n"/>
      <c r="G755" s="7">
        <f>IF(A755="","",A755+(7-WEEKDAY(A755,2)))</f>
        <v/>
      </c>
      <c r="H755" s="6">
        <f>IF(OR(A755="",B755=""),"",SUMIFS($E$2:$E$1001,$A$2:$A$1001,A755,$B$2:$B$1001,B755))</f>
        <v/>
      </c>
    </row>
    <row r="756">
      <c r="A756" s="7" t="n"/>
      <c r="B756" s="6" t="n"/>
      <c r="C756" s="6" t="n"/>
      <c r="D756" s="6">
        <f>IF(C756="","",IFERROR(VLOOKUP(C756,Lists!$C:$D,2,FALSE),""))</f>
        <v/>
      </c>
      <c r="E756" s="6" t="n"/>
      <c r="F756" s="6" t="n"/>
      <c r="G756" s="7">
        <f>IF(A756="","",A756+(7-WEEKDAY(A756,2)))</f>
        <v/>
      </c>
      <c r="H756" s="6">
        <f>IF(OR(A756="",B756=""),"",SUMIFS($E$2:$E$1001,$A$2:$A$1001,A756,$B$2:$B$1001,B756))</f>
        <v/>
      </c>
    </row>
    <row r="757">
      <c r="A757" s="7" t="n"/>
      <c r="B757" s="6" t="n"/>
      <c r="C757" s="6" t="n"/>
      <c r="D757" s="6">
        <f>IF(C757="","",IFERROR(VLOOKUP(C757,Lists!$C:$D,2,FALSE),""))</f>
        <v/>
      </c>
      <c r="E757" s="6" t="n"/>
      <c r="F757" s="6" t="n"/>
      <c r="G757" s="7">
        <f>IF(A757="","",A757+(7-WEEKDAY(A757,2)))</f>
        <v/>
      </c>
      <c r="H757" s="6">
        <f>IF(OR(A757="",B757=""),"",SUMIFS($E$2:$E$1001,$A$2:$A$1001,A757,$B$2:$B$1001,B757))</f>
        <v/>
      </c>
    </row>
    <row r="758">
      <c r="A758" s="7" t="n"/>
      <c r="B758" s="6" t="n"/>
      <c r="C758" s="6" t="n"/>
      <c r="D758" s="6">
        <f>IF(C758="","",IFERROR(VLOOKUP(C758,Lists!$C:$D,2,FALSE),""))</f>
        <v/>
      </c>
      <c r="E758" s="6" t="n"/>
      <c r="F758" s="6" t="n"/>
      <c r="G758" s="7">
        <f>IF(A758="","",A758+(7-WEEKDAY(A758,2)))</f>
        <v/>
      </c>
      <c r="H758" s="6">
        <f>IF(OR(A758="",B758=""),"",SUMIFS($E$2:$E$1001,$A$2:$A$1001,A758,$B$2:$B$1001,B758))</f>
        <v/>
      </c>
    </row>
    <row r="759">
      <c r="A759" s="7" t="n"/>
      <c r="B759" s="6" t="n"/>
      <c r="C759" s="6" t="n"/>
      <c r="D759" s="6">
        <f>IF(C759="","",IFERROR(VLOOKUP(C759,Lists!$C:$D,2,FALSE),""))</f>
        <v/>
      </c>
      <c r="E759" s="6" t="n"/>
      <c r="F759" s="6" t="n"/>
      <c r="G759" s="7">
        <f>IF(A759="","",A759+(7-WEEKDAY(A759,2)))</f>
        <v/>
      </c>
      <c r="H759" s="6">
        <f>IF(OR(A759="",B759=""),"",SUMIFS($E$2:$E$1001,$A$2:$A$1001,A759,$B$2:$B$1001,B759))</f>
        <v/>
      </c>
    </row>
    <row r="760">
      <c r="A760" s="7" t="n"/>
      <c r="B760" s="6" t="n"/>
      <c r="C760" s="6" t="n"/>
      <c r="D760" s="6">
        <f>IF(C760="","",IFERROR(VLOOKUP(C760,Lists!$C:$D,2,FALSE),""))</f>
        <v/>
      </c>
      <c r="E760" s="6" t="n"/>
      <c r="F760" s="6" t="n"/>
      <c r="G760" s="7">
        <f>IF(A760="","",A760+(7-WEEKDAY(A760,2)))</f>
        <v/>
      </c>
      <c r="H760" s="6">
        <f>IF(OR(A760="",B760=""),"",SUMIFS($E$2:$E$1001,$A$2:$A$1001,A760,$B$2:$B$1001,B760))</f>
        <v/>
      </c>
    </row>
    <row r="761">
      <c r="A761" s="7" t="n"/>
      <c r="B761" s="6" t="n"/>
      <c r="C761" s="6" t="n"/>
      <c r="D761" s="6">
        <f>IF(C761="","",IFERROR(VLOOKUP(C761,Lists!$C:$D,2,FALSE),""))</f>
        <v/>
      </c>
      <c r="E761" s="6" t="n"/>
      <c r="F761" s="6" t="n"/>
      <c r="G761" s="7">
        <f>IF(A761="","",A761+(7-WEEKDAY(A761,2)))</f>
        <v/>
      </c>
      <c r="H761" s="6">
        <f>IF(OR(A761="",B761=""),"",SUMIFS($E$2:$E$1001,$A$2:$A$1001,A761,$B$2:$B$1001,B761))</f>
        <v/>
      </c>
    </row>
    <row r="762">
      <c r="A762" s="7" t="n"/>
      <c r="B762" s="6" t="n"/>
      <c r="C762" s="6" t="n"/>
      <c r="D762" s="6">
        <f>IF(C762="","",IFERROR(VLOOKUP(C762,Lists!$C:$D,2,FALSE),""))</f>
        <v/>
      </c>
      <c r="E762" s="6" t="n"/>
      <c r="F762" s="6" t="n"/>
      <c r="G762" s="7">
        <f>IF(A762="","",A762+(7-WEEKDAY(A762,2)))</f>
        <v/>
      </c>
      <c r="H762" s="6">
        <f>IF(OR(A762="",B762=""),"",SUMIFS($E$2:$E$1001,$A$2:$A$1001,A762,$B$2:$B$1001,B762))</f>
        <v/>
      </c>
    </row>
    <row r="763">
      <c r="A763" s="7" t="n"/>
      <c r="B763" s="6" t="n"/>
      <c r="C763" s="6" t="n"/>
      <c r="D763" s="6">
        <f>IF(C763="","",IFERROR(VLOOKUP(C763,Lists!$C:$D,2,FALSE),""))</f>
        <v/>
      </c>
      <c r="E763" s="6" t="n"/>
      <c r="F763" s="6" t="n"/>
      <c r="G763" s="7">
        <f>IF(A763="","",A763+(7-WEEKDAY(A763,2)))</f>
        <v/>
      </c>
      <c r="H763" s="6">
        <f>IF(OR(A763="",B763=""),"",SUMIFS($E$2:$E$1001,$A$2:$A$1001,A763,$B$2:$B$1001,B763))</f>
        <v/>
      </c>
    </row>
    <row r="764">
      <c r="A764" s="7" t="n"/>
      <c r="B764" s="6" t="n"/>
      <c r="C764" s="6" t="n"/>
      <c r="D764" s="6">
        <f>IF(C764="","",IFERROR(VLOOKUP(C764,Lists!$C:$D,2,FALSE),""))</f>
        <v/>
      </c>
      <c r="E764" s="6" t="n"/>
      <c r="F764" s="6" t="n"/>
      <c r="G764" s="7">
        <f>IF(A764="","",A764+(7-WEEKDAY(A764,2)))</f>
        <v/>
      </c>
      <c r="H764" s="6">
        <f>IF(OR(A764="",B764=""),"",SUMIFS($E$2:$E$1001,$A$2:$A$1001,A764,$B$2:$B$1001,B764))</f>
        <v/>
      </c>
    </row>
    <row r="765">
      <c r="A765" s="7" t="n"/>
      <c r="B765" s="6" t="n"/>
      <c r="C765" s="6" t="n"/>
      <c r="D765" s="6">
        <f>IF(C765="","",IFERROR(VLOOKUP(C765,Lists!$C:$D,2,FALSE),""))</f>
        <v/>
      </c>
      <c r="E765" s="6" t="n"/>
      <c r="F765" s="6" t="n"/>
      <c r="G765" s="7">
        <f>IF(A765="","",A765+(7-WEEKDAY(A765,2)))</f>
        <v/>
      </c>
      <c r="H765" s="6">
        <f>IF(OR(A765="",B765=""),"",SUMIFS($E$2:$E$1001,$A$2:$A$1001,A765,$B$2:$B$1001,B765))</f>
        <v/>
      </c>
    </row>
    <row r="766">
      <c r="A766" s="7" t="n"/>
      <c r="B766" s="6" t="n"/>
      <c r="C766" s="6" t="n"/>
      <c r="D766" s="6">
        <f>IF(C766="","",IFERROR(VLOOKUP(C766,Lists!$C:$D,2,FALSE),""))</f>
        <v/>
      </c>
      <c r="E766" s="6" t="n"/>
      <c r="F766" s="6" t="n"/>
      <c r="G766" s="7">
        <f>IF(A766="","",A766+(7-WEEKDAY(A766,2)))</f>
        <v/>
      </c>
      <c r="H766" s="6">
        <f>IF(OR(A766="",B766=""),"",SUMIFS($E$2:$E$1001,$A$2:$A$1001,A766,$B$2:$B$1001,B766))</f>
        <v/>
      </c>
    </row>
    <row r="767">
      <c r="A767" s="7" t="n"/>
      <c r="B767" s="6" t="n"/>
      <c r="C767" s="6" t="n"/>
      <c r="D767" s="6">
        <f>IF(C767="","",IFERROR(VLOOKUP(C767,Lists!$C:$D,2,FALSE),""))</f>
        <v/>
      </c>
      <c r="E767" s="6" t="n"/>
      <c r="F767" s="6" t="n"/>
      <c r="G767" s="7">
        <f>IF(A767="","",A767+(7-WEEKDAY(A767,2)))</f>
        <v/>
      </c>
      <c r="H767" s="6">
        <f>IF(OR(A767="",B767=""),"",SUMIFS($E$2:$E$1001,$A$2:$A$1001,A767,$B$2:$B$1001,B767))</f>
        <v/>
      </c>
    </row>
    <row r="768">
      <c r="A768" s="7" t="n"/>
      <c r="B768" s="6" t="n"/>
      <c r="C768" s="6" t="n"/>
      <c r="D768" s="6">
        <f>IF(C768="","",IFERROR(VLOOKUP(C768,Lists!$C:$D,2,FALSE),""))</f>
        <v/>
      </c>
      <c r="E768" s="6" t="n"/>
      <c r="F768" s="6" t="n"/>
      <c r="G768" s="7">
        <f>IF(A768="","",A768+(7-WEEKDAY(A768,2)))</f>
        <v/>
      </c>
      <c r="H768" s="6">
        <f>IF(OR(A768="",B768=""),"",SUMIFS($E$2:$E$1001,$A$2:$A$1001,A768,$B$2:$B$1001,B768))</f>
        <v/>
      </c>
    </row>
    <row r="769">
      <c r="A769" s="7" t="n"/>
      <c r="B769" s="6" t="n"/>
      <c r="C769" s="6" t="n"/>
      <c r="D769" s="6">
        <f>IF(C769="","",IFERROR(VLOOKUP(C769,Lists!$C:$D,2,FALSE),""))</f>
        <v/>
      </c>
      <c r="E769" s="6" t="n"/>
      <c r="F769" s="6" t="n"/>
      <c r="G769" s="7">
        <f>IF(A769="","",A769+(7-WEEKDAY(A769,2)))</f>
        <v/>
      </c>
      <c r="H769" s="6">
        <f>IF(OR(A769="",B769=""),"",SUMIFS($E$2:$E$1001,$A$2:$A$1001,A769,$B$2:$B$1001,B769))</f>
        <v/>
      </c>
    </row>
    <row r="770">
      <c r="A770" s="7" t="n"/>
      <c r="B770" s="6" t="n"/>
      <c r="C770" s="6" t="n"/>
      <c r="D770" s="6">
        <f>IF(C770="","",IFERROR(VLOOKUP(C770,Lists!$C:$D,2,FALSE),""))</f>
        <v/>
      </c>
      <c r="E770" s="6" t="n"/>
      <c r="F770" s="6" t="n"/>
      <c r="G770" s="7">
        <f>IF(A770="","",A770+(7-WEEKDAY(A770,2)))</f>
        <v/>
      </c>
      <c r="H770" s="6">
        <f>IF(OR(A770="",B770=""),"",SUMIFS($E$2:$E$1001,$A$2:$A$1001,A770,$B$2:$B$1001,B770))</f>
        <v/>
      </c>
    </row>
    <row r="771">
      <c r="A771" s="7" t="n"/>
      <c r="B771" s="6" t="n"/>
      <c r="C771" s="6" t="n"/>
      <c r="D771" s="6">
        <f>IF(C771="","",IFERROR(VLOOKUP(C771,Lists!$C:$D,2,FALSE),""))</f>
        <v/>
      </c>
      <c r="E771" s="6" t="n"/>
      <c r="F771" s="6" t="n"/>
      <c r="G771" s="7">
        <f>IF(A771="","",A771+(7-WEEKDAY(A771,2)))</f>
        <v/>
      </c>
      <c r="H771" s="6">
        <f>IF(OR(A771="",B771=""),"",SUMIFS($E$2:$E$1001,$A$2:$A$1001,A771,$B$2:$B$1001,B771))</f>
        <v/>
      </c>
    </row>
    <row r="772">
      <c r="A772" s="7" t="n"/>
      <c r="B772" s="6" t="n"/>
      <c r="C772" s="6" t="n"/>
      <c r="D772" s="6">
        <f>IF(C772="","",IFERROR(VLOOKUP(C772,Lists!$C:$D,2,FALSE),""))</f>
        <v/>
      </c>
      <c r="E772" s="6" t="n"/>
      <c r="F772" s="6" t="n"/>
      <c r="G772" s="7">
        <f>IF(A772="","",A772+(7-WEEKDAY(A772,2)))</f>
        <v/>
      </c>
      <c r="H772" s="6">
        <f>IF(OR(A772="",B772=""),"",SUMIFS($E$2:$E$1001,$A$2:$A$1001,A772,$B$2:$B$1001,B772))</f>
        <v/>
      </c>
    </row>
    <row r="773">
      <c r="A773" s="7" t="n"/>
      <c r="B773" s="6" t="n"/>
      <c r="C773" s="6" t="n"/>
      <c r="D773" s="6">
        <f>IF(C773="","",IFERROR(VLOOKUP(C773,Lists!$C:$D,2,FALSE),""))</f>
        <v/>
      </c>
      <c r="E773" s="6" t="n"/>
      <c r="F773" s="6" t="n"/>
      <c r="G773" s="7">
        <f>IF(A773="","",A773+(7-WEEKDAY(A773,2)))</f>
        <v/>
      </c>
      <c r="H773" s="6">
        <f>IF(OR(A773="",B773=""),"",SUMIFS($E$2:$E$1001,$A$2:$A$1001,A773,$B$2:$B$1001,B773))</f>
        <v/>
      </c>
    </row>
    <row r="774">
      <c r="A774" s="7" t="n"/>
      <c r="B774" s="6" t="n"/>
      <c r="C774" s="6" t="n"/>
      <c r="D774" s="6">
        <f>IF(C774="","",IFERROR(VLOOKUP(C774,Lists!$C:$D,2,FALSE),""))</f>
        <v/>
      </c>
      <c r="E774" s="6" t="n"/>
      <c r="F774" s="6" t="n"/>
      <c r="G774" s="7">
        <f>IF(A774="","",A774+(7-WEEKDAY(A774,2)))</f>
        <v/>
      </c>
      <c r="H774" s="6">
        <f>IF(OR(A774="",B774=""),"",SUMIFS($E$2:$E$1001,$A$2:$A$1001,A774,$B$2:$B$1001,B774))</f>
        <v/>
      </c>
    </row>
    <row r="775">
      <c r="A775" s="7" t="n"/>
      <c r="B775" s="6" t="n"/>
      <c r="C775" s="6" t="n"/>
      <c r="D775" s="6">
        <f>IF(C775="","",IFERROR(VLOOKUP(C775,Lists!$C:$D,2,FALSE),""))</f>
        <v/>
      </c>
      <c r="E775" s="6" t="n"/>
      <c r="F775" s="6" t="n"/>
      <c r="G775" s="7">
        <f>IF(A775="","",A775+(7-WEEKDAY(A775,2)))</f>
        <v/>
      </c>
      <c r="H775" s="6">
        <f>IF(OR(A775="",B775=""),"",SUMIFS($E$2:$E$1001,$A$2:$A$1001,A775,$B$2:$B$1001,B775))</f>
        <v/>
      </c>
    </row>
    <row r="776">
      <c r="A776" s="7" t="n"/>
      <c r="B776" s="6" t="n"/>
      <c r="C776" s="6" t="n"/>
      <c r="D776" s="6">
        <f>IF(C776="","",IFERROR(VLOOKUP(C776,Lists!$C:$D,2,FALSE),""))</f>
        <v/>
      </c>
      <c r="E776" s="6" t="n"/>
      <c r="F776" s="6" t="n"/>
      <c r="G776" s="7">
        <f>IF(A776="","",A776+(7-WEEKDAY(A776,2)))</f>
        <v/>
      </c>
      <c r="H776" s="6">
        <f>IF(OR(A776="",B776=""),"",SUMIFS($E$2:$E$1001,$A$2:$A$1001,A776,$B$2:$B$1001,B776))</f>
        <v/>
      </c>
    </row>
    <row r="777">
      <c r="A777" s="7" t="n"/>
      <c r="B777" s="6" t="n"/>
      <c r="C777" s="6" t="n"/>
      <c r="D777" s="6">
        <f>IF(C777="","",IFERROR(VLOOKUP(C777,Lists!$C:$D,2,FALSE),""))</f>
        <v/>
      </c>
      <c r="E777" s="6" t="n"/>
      <c r="F777" s="6" t="n"/>
      <c r="G777" s="7">
        <f>IF(A777="","",A777+(7-WEEKDAY(A777,2)))</f>
        <v/>
      </c>
      <c r="H777" s="6">
        <f>IF(OR(A777="",B777=""),"",SUMIFS($E$2:$E$1001,$A$2:$A$1001,A777,$B$2:$B$1001,B777))</f>
        <v/>
      </c>
    </row>
    <row r="778">
      <c r="A778" s="7" t="n"/>
      <c r="B778" s="6" t="n"/>
      <c r="C778" s="6" t="n"/>
      <c r="D778" s="6">
        <f>IF(C778="","",IFERROR(VLOOKUP(C778,Lists!$C:$D,2,FALSE),""))</f>
        <v/>
      </c>
      <c r="E778" s="6" t="n"/>
      <c r="F778" s="6" t="n"/>
      <c r="G778" s="7">
        <f>IF(A778="","",A778+(7-WEEKDAY(A778,2)))</f>
        <v/>
      </c>
      <c r="H778" s="6">
        <f>IF(OR(A778="",B778=""),"",SUMIFS($E$2:$E$1001,$A$2:$A$1001,A778,$B$2:$B$1001,B778))</f>
        <v/>
      </c>
    </row>
    <row r="779">
      <c r="A779" s="7" t="n"/>
      <c r="B779" s="6" t="n"/>
      <c r="C779" s="6" t="n"/>
      <c r="D779" s="6">
        <f>IF(C779="","",IFERROR(VLOOKUP(C779,Lists!$C:$D,2,FALSE),""))</f>
        <v/>
      </c>
      <c r="E779" s="6" t="n"/>
      <c r="F779" s="6" t="n"/>
      <c r="G779" s="7">
        <f>IF(A779="","",A779+(7-WEEKDAY(A779,2)))</f>
        <v/>
      </c>
      <c r="H779" s="6">
        <f>IF(OR(A779="",B779=""),"",SUMIFS($E$2:$E$1001,$A$2:$A$1001,A779,$B$2:$B$1001,B779))</f>
        <v/>
      </c>
    </row>
    <row r="780">
      <c r="A780" s="7" t="n"/>
      <c r="B780" s="6" t="n"/>
      <c r="C780" s="6" t="n"/>
      <c r="D780" s="6">
        <f>IF(C780="","",IFERROR(VLOOKUP(C780,Lists!$C:$D,2,FALSE),""))</f>
        <v/>
      </c>
      <c r="E780" s="6" t="n"/>
      <c r="F780" s="6" t="n"/>
      <c r="G780" s="7">
        <f>IF(A780="","",A780+(7-WEEKDAY(A780,2)))</f>
        <v/>
      </c>
      <c r="H780" s="6">
        <f>IF(OR(A780="",B780=""),"",SUMIFS($E$2:$E$1001,$A$2:$A$1001,A780,$B$2:$B$1001,B780))</f>
        <v/>
      </c>
    </row>
    <row r="781">
      <c r="A781" s="7" t="n"/>
      <c r="B781" s="6" t="n"/>
      <c r="C781" s="6" t="n"/>
      <c r="D781" s="6">
        <f>IF(C781="","",IFERROR(VLOOKUP(C781,Lists!$C:$D,2,FALSE),""))</f>
        <v/>
      </c>
      <c r="E781" s="6" t="n"/>
      <c r="F781" s="6" t="n"/>
      <c r="G781" s="7">
        <f>IF(A781="","",A781+(7-WEEKDAY(A781,2)))</f>
        <v/>
      </c>
      <c r="H781" s="6">
        <f>IF(OR(A781="",B781=""),"",SUMIFS($E$2:$E$1001,$A$2:$A$1001,A781,$B$2:$B$1001,B781))</f>
        <v/>
      </c>
    </row>
    <row r="782">
      <c r="A782" s="7" t="n"/>
      <c r="B782" s="6" t="n"/>
      <c r="C782" s="6" t="n"/>
      <c r="D782" s="6">
        <f>IF(C782="","",IFERROR(VLOOKUP(C782,Lists!$C:$D,2,FALSE),""))</f>
        <v/>
      </c>
      <c r="E782" s="6" t="n"/>
      <c r="F782" s="6" t="n"/>
      <c r="G782" s="7">
        <f>IF(A782="","",A782+(7-WEEKDAY(A782,2)))</f>
        <v/>
      </c>
      <c r="H782" s="6">
        <f>IF(OR(A782="",B782=""),"",SUMIFS($E$2:$E$1001,$A$2:$A$1001,A782,$B$2:$B$1001,B782))</f>
        <v/>
      </c>
    </row>
    <row r="783">
      <c r="A783" s="7" t="n"/>
      <c r="B783" s="6" t="n"/>
      <c r="C783" s="6" t="n"/>
      <c r="D783" s="6">
        <f>IF(C783="","",IFERROR(VLOOKUP(C783,Lists!$C:$D,2,FALSE),""))</f>
        <v/>
      </c>
      <c r="E783" s="6" t="n"/>
      <c r="F783" s="6" t="n"/>
      <c r="G783" s="7">
        <f>IF(A783="","",A783+(7-WEEKDAY(A783,2)))</f>
        <v/>
      </c>
      <c r="H783" s="6">
        <f>IF(OR(A783="",B783=""),"",SUMIFS($E$2:$E$1001,$A$2:$A$1001,A783,$B$2:$B$1001,B783))</f>
        <v/>
      </c>
    </row>
    <row r="784">
      <c r="A784" s="7" t="n"/>
      <c r="B784" s="6" t="n"/>
      <c r="C784" s="6" t="n"/>
      <c r="D784" s="6">
        <f>IF(C784="","",IFERROR(VLOOKUP(C784,Lists!$C:$D,2,FALSE),""))</f>
        <v/>
      </c>
      <c r="E784" s="6" t="n"/>
      <c r="F784" s="6" t="n"/>
      <c r="G784" s="7">
        <f>IF(A784="","",A784+(7-WEEKDAY(A784,2)))</f>
        <v/>
      </c>
      <c r="H784" s="6">
        <f>IF(OR(A784="",B784=""),"",SUMIFS($E$2:$E$1001,$A$2:$A$1001,A784,$B$2:$B$1001,B784))</f>
        <v/>
      </c>
    </row>
    <row r="785">
      <c r="A785" s="7" t="n"/>
      <c r="B785" s="6" t="n"/>
      <c r="C785" s="6" t="n"/>
      <c r="D785" s="6">
        <f>IF(C785="","",IFERROR(VLOOKUP(C785,Lists!$C:$D,2,FALSE),""))</f>
        <v/>
      </c>
      <c r="E785" s="6" t="n"/>
      <c r="F785" s="6" t="n"/>
      <c r="G785" s="7">
        <f>IF(A785="","",A785+(7-WEEKDAY(A785,2)))</f>
        <v/>
      </c>
      <c r="H785" s="6">
        <f>IF(OR(A785="",B785=""),"",SUMIFS($E$2:$E$1001,$A$2:$A$1001,A785,$B$2:$B$1001,B785))</f>
        <v/>
      </c>
    </row>
    <row r="786">
      <c r="A786" s="7" t="n"/>
      <c r="B786" s="6" t="n"/>
      <c r="C786" s="6" t="n"/>
      <c r="D786" s="6">
        <f>IF(C786="","",IFERROR(VLOOKUP(C786,Lists!$C:$D,2,FALSE),""))</f>
        <v/>
      </c>
      <c r="E786" s="6" t="n"/>
      <c r="F786" s="6" t="n"/>
      <c r="G786" s="7">
        <f>IF(A786="","",A786+(7-WEEKDAY(A786,2)))</f>
        <v/>
      </c>
      <c r="H786" s="6">
        <f>IF(OR(A786="",B786=""),"",SUMIFS($E$2:$E$1001,$A$2:$A$1001,A786,$B$2:$B$1001,B786))</f>
        <v/>
      </c>
    </row>
    <row r="787">
      <c r="A787" s="7" t="n"/>
      <c r="B787" s="6" t="n"/>
      <c r="C787" s="6" t="n"/>
      <c r="D787" s="6">
        <f>IF(C787="","",IFERROR(VLOOKUP(C787,Lists!$C:$D,2,FALSE),""))</f>
        <v/>
      </c>
      <c r="E787" s="6" t="n"/>
      <c r="F787" s="6" t="n"/>
      <c r="G787" s="7">
        <f>IF(A787="","",A787+(7-WEEKDAY(A787,2)))</f>
        <v/>
      </c>
      <c r="H787" s="6">
        <f>IF(OR(A787="",B787=""),"",SUMIFS($E$2:$E$1001,$A$2:$A$1001,A787,$B$2:$B$1001,B787))</f>
        <v/>
      </c>
    </row>
    <row r="788">
      <c r="A788" s="7" t="n"/>
      <c r="B788" s="6" t="n"/>
      <c r="C788" s="6" t="n"/>
      <c r="D788" s="6">
        <f>IF(C788="","",IFERROR(VLOOKUP(C788,Lists!$C:$D,2,FALSE),""))</f>
        <v/>
      </c>
      <c r="E788" s="6" t="n"/>
      <c r="F788" s="6" t="n"/>
      <c r="G788" s="7">
        <f>IF(A788="","",A788+(7-WEEKDAY(A788,2)))</f>
        <v/>
      </c>
      <c r="H788" s="6">
        <f>IF(OR(A788="",B788=""),"",SUMIFS($E$2:$E$1001,$A$2:$A$1001,A788,$B$2:$B$1001,B788))</f>
        <v/>
      </c>
    </row>
    <row r="789">
      <c r="A789" s="7" t="n"/>
      <c r="B789" s="6" t="n"/>
      <c r="C789" s="6" t="n"/>
      <c r="D789" s="6">
        <f>IF(C789="","",IFERROR(VLOOKUP(C789,Lists!$C:$D,2,FALSE),""))</f>
        <v/>
      </c>
      <c r="E789" s="6" t="n"/>
      <c r="F789" s="6" t="n"/>
      <c r="G789" s="7">
        <f>IF(A789="","",A789+(7-WEEKDAY(A789,2)))</f>
        <v/>
      </c>
      <c r="H789" s="6">
        <f>IF(OR(A789="",B789=""),"",SUMIFS($E$2:$E$1001,$A$2:$A$1001,A789,$B$2:$B$1001,B789))</f>
        <v/>
      </c>
    </row>
    <row r="790">
      <c r="A790" s="7" t="n"/>
      <c r="B790" s="6" t="n"/>
      <c r="C790" s="6" t="n"/>
      <c r="D790" s="6">
        <f>IF(C790="","",IFERROR(VLOOKUP(C790,Lists!$C:$D,2,FALSE),""))</f>
        <v/>
      </c>
      <c r="E790" s="6" t="n"/>
      <c r="F790" s="6" t="n"/>
      <c r="G790" s="7">
        <f>IF(A790="","",A790+(7-WEEKDAY(A790,2)))</f>
        <v/>
      </c>
      <c r="H790" s="6">
        <f>IF(OR(A790="",B790=""),"",SUMIFS($E$2:$E$1001,$A$2:$A$1001,A790,$B$2:$B$1001,B790))</f>
        <v/>
      </c>
    </row>
    <row r="791">
      <c r="A791" s="7" t="n"/>
      <c r="B791" s="6" t="n"/>
      <c r="C791" s="6" t="n"/>
      <c r="D791" s="6">
        <f>IF(C791="","",IFERROR(VLOOKUP(C791,Lists!$C:$D,2,FALSE),""))</f>
        <v/>
      </c>
      <c r="E791" s="6" t="n"/>
      <c r="F791" s="6" t="n"/>
      <c r="G791" s="7">
        <f>IF(A791="","",A791+(7-WEEKDAY(A791,2)))</f>
        <v/>
      </c>
      <c r="H791" s="6">
        <f>IF(OR(A791="",B791=""),"",SUMIFS($E$2:$E$1001,$A$2:$A$1001,A791,$B$2:$B$1001,B791))</f>
        <v/>
      </c>
    </row>
    <row r="792">
      <c r="A792" s="7" t="n"/>
      <c r="B792" s="6" t="n"/>
      <c r="C792" s="6" t="n"/>
      <c r="D792" s="6">
        <f>IF(C792="","",IFERROR(VLOOKUP(C792,Lists!$C:$D,2,FALSE),""))</f>
        <v/>
      </c>
      <c r="E792" s="6" t="n"/>
      <c r="F792" s="6" t="n"/>
      <c r="G792" s="7">
        <f>IF(A792="","",A792+(7-WEEKDAY(A792,2)))</f>
        <v/>
      </c>
      <c r="H792" s="6">
        <f>IF(OR(A792="",B792=""),"",SUMIFS($E$2:$E$1001,$A$2:$A$1001,A792,$B$2:$B$1001,B792))</f>
        <v/>
      </c>
    </row>
    <row r="793">
      <c r="A793" s="7" t="n"/>
      <c r="B793" s="6" t="n"/>
      <c r="C793" s="6" t="n"/>
      <c r="D793" s="6">
        <f>IF(C793="","",IFERROR(VLOOKUP(C793,Lists!$C:$D,2,FALSE),""))</f>
        <v/>
      </c>
      <c r="E793" s="6" t="n"/>
      <c r="F793" s="6" t="n"/>
      <c r="G793" s="7">
        <f>IF(A793="","",A793+(7-WEEKDAY(A793,2)))</f>
        <v/>
      </c>
      <c r="H793" s="6">
        <f>IF(OR(A793="",B793=""),"",SUMIFS($E$2:$E$1001,$A$2:$A$1001,A793,$B$2:$B$1001,B793))</f>
        <v/>
      </c>
    </row>
    <row r="794">
      <c r="A794" s="7" t="n"/>
      <c r="B794" s="6" t="n"/>
      <c r="C794" s="6" t="n"/>
      <c r="D794" s="6">
        <f>IF(C794="","",IFERROR(VLOOKUP(C794,Lists!$C:$D,2,FALSE),""))</f>
        <v/>
      </c>
      <c r="E794" s="6" t="n"/>
      <c r="F794" s="6" t="n"/>
      <c r="G794" s="7">
        <f>IF(A794="","",A794+(7-WEEKDAY(A794,2)))</f>
        <v/>
      </c>
      <c r="H794" s="6">
        <f>IF(OR(A794="",B794=""),"",SUMIFS($E$2:$E$1001,$A$2:$A$1001,A794,$B$2:$B$1001,B794))</f>
        <v/>
      </c>
    </row>
    <row r="795">
      <c r="A795" s="7" t="n"/>
      <c r="B795" s="6" t="n"/>
      <c r="C795" s="6" t="n"/>
      <c r="D795" s="6">
        <f>IF(C795="","",IFERROR(VLOOKUP(C795,Lists!$C:$D,2,FALSE),""))</f>
        <v/>
      </c>
      <c r="E795" s="6" t="n"/>
      <c r="F795" s="6" t="n"/>
      <c r="G795" s="7">
        <f>IF(A795="","",A795+(7-WEEKDAY(A795,2)))</f>
        <v/>
      </c>
      <c r="H795" s="6">
        <f>IF(OR(A795="",B795=""),"",SUMIFS($E$2:$E$1001,$A$2:$A$1001,A795,$B$2:$B$1001,B795))</f>
        <v/>
      </c>
    </row>
    <row r="796">
      <c r="A796" s="7" t="n"/>
      <c r="B796" s="6" t="n"/>
      <c r="C796" s="6" t="n"/>
      <c r="D796" s="6">
        <f>IF(C796="","",IFERROR(VLOOKUP(C796,Lists!$C:$D,2,FALSE),""))</f>
        <v/>
      </c>
      <c r="E796" s="6" t="n"/>
      <c r="F796" s="6" t="n"/>
      <c r="G796" s="7">
        <f>IF(A796="","",A796+(7-WEEKDAY(A796,2)))</f>
        <v/>
      </c>
      <c r="H796" s="6">
        <f>IF(OR(A796="",B796=""),"",SUMIFS($E$2:$E$1001,$A$2:$A$1001,A796,$B$2:$B$1001,B796))</f>
        <v/>
      </c>
    </row>
    <row r="797">
      <c r="A797" s="7" t="n"/>
      <c r="B797" s="6" t="n"/>
      <c r="C797" s="6" t="n"/>
      <c r="D797" s="6">
        <f>IF(C797="","",IFERROR(VLOOKUP(C797,Lists!$C:$D,2,FALSE),""))</f>
        <v/>
      </c>
      <c r="E797" s="6" t="n"/>
      <c r="F797" s="6" t="n"/>
      <c r="G797" s="7">
        <f>IF(A797="","",A797+(7-WEEKDAY(A797,2)))</f>
        <v/>
      </c>
      <c r="H797" s="6">
        <f>IF(OR(A797="",B797=""),"",SUMIFS($E$2:$E$1001,$A$2:$A$1001,A797,$B$2:$B$1001,B797))</f>
        <v/>
      </c>
    </row>
    <row r="798">
      <c r="A798" s="7" t="n"/>
      <c r="B798" s="6" t="n"/>
      <c r="C798" s="6" t="n"/>
      <c r="D798" s="6">
        <f>IF(C798="","",IFERROR(VLOOKUP(C798,Lists!$C:$D,2,FALSE),""))</f>
        <v/>
      </c>
      <c r="E798" s="6" t="n"/>
      <c r="F798" s="6" t="n"/>
      <c r="G798" s="7">
        <f>IF(A798="","",A798+(7-WEEKDAY(A798,2)))</f>
        <v/>
      </c>
      <c r="H798" s="6">
        <f>IF(OR(A798="",B798=""),"",SUMIFS($E$2:$E$1001,$A$2:$A$1001,A798,$B$2:$B$1001,B798))</f>
        <v/>
      </c>
    </row>
    <row r="799">
      <c r="A799" s="7" t="n"/>
      <c r="B799" s="6" t="n"/>
      <c r="C799" s="6" t="n"/>
      <c r="D799" s="6">
        <f>IF(C799="","",IFERROR(VLOOKUP(C799,Lists!$C:$D,2,FALSE),""))</f>
        <v/>
      </c>
      <c r="E799" s="6" t="n"/>
      <c r="F799" s="6" t="n"/>
      <c r="G799" s="7">
        <f>IF(A799="","",A799+(7-WEEKDAY(A799,2)))</f>
        <v/>
      </c>
      <c r="H799" s="6">
        <f>IF(OR(A799="",B799=""),"",SUMIFS($E$2:$E$1001,$A$2:$A$1001,A799,$B$2:$B$1001,B799))</f>
        <v/>
      </c>
    </row>
    <row r="800">
      <c r="A800" s="7" t="n"/>
      <c r="B800" s="6" t="n"/>
      <c r="C800" s="6" t="n"/>
      <c r="D800" s="6">
        <f>IF(C800="","",IFERROR(VLOOKUP(C800,Lists!$C:$D,2,FALSE),""))</f>
        <v/>
      </c>
      <c r="E800" s="6" t="n"/>
      <c r="F800" s="6" t="n"/>
      <c r="G800" s="7">
        <f>IF(A800="","",A800+(7-WEEKDAY(A800,2)))</f>
        <v/>
      </c>
      <c r="H800" s="6">
        <f>IF(OR(A800="",B800=""),"",SUMIFS($E$2:$E$1001,$A$2:$A$1001,A800,$B$2:$B$1001,B800))</f>
        <v/>
      </c>
    </row>
    <row r="801">
      <c r="A801" s="7" t="n"/>
      <c r="B801" s="6" t="n"/>
      <c r="C801" s="6" t="n"/>
      <c r="D801" s="6">
        <f>IF(C801="","",IFERROR(VLOOKUP(C801,Lists!$C:$D,2,FALSE),""))</f>
        <v/>
      </c>
      <c r="E801" s="6" t="n"/>
      <c r="F801" s="6" t="n"/>
      <c r="G801" s="7">
        <f>IF(A801="","",A801+(7-WEEKDAY(A801,2)))</f>
        <v/>
      </c>
      <c r="H801" s="6">
        <f>IF(OR(A801="",B801=""),"",SUMIFS($E$2:$E$1001,$A$2:$A$1001,A801,$B$2:$B$1001,B801))</f>
        <v/>
      </c>
    </row>
    <row r="802">
      <c r="A802" s="7" t="n"/>
      <c r="B802" s="6" t="n"/>
      <c r="C802" s="6" t="n"/>
      <c r="D802" s="6">
        <f>IF(C802="","",IFERROR(VLOOKUP(C802,Lists!$C:$D,2,FALSE),""))</f>
        <v/>
      </c>
      <c r="E802" s="6" t="n"/>
      <c r="F802" s="6" t="n"/>
      <c r="G802" s="7">
        <f>IF(A802="","",A802+(7-WEEKDAY(A802,2)))</f>
        <v/>
      </c>
      <c r="H802" s="6">
        <f>IF(OR(A802="",B802=""),"",SUMIFS($E$2:$E$1001,$A$2:$A$1001,A802,$B$2:$B$1001,B802))</f>
        <v/>
      </c>
    </row>
    <row r="803">
      <c r="A803" s="7" t="n"/>
      <c r="B803" s="6" t="n"/>
      <c r="C803" s="6" t="n"/>
      <c r="D803" s="6">
        <f>IF(C803="","",IFERROR(VLOOKUP(C803,Lists!$C:$D,2,FALSE),""))</f>
        <v/>
      </c>
      <c r="E803" s="6" t="n"/>
      <c r="F803" s="6" t="n"/>
      <c r="G803" s="7">
        <f>IF(A803="","",A803+(7-WEEKDAY(A803,2)))</f>
        <v/>
      </c>
      <c r="H803" s="6">
        <f>IF(OR(A803="",B803=""),"",SUMIFS($E$2:$E$1001,$A$2:$A$1001,A803,$B$2:$B$1001,B803))</f>
        <v/>
      </c>
    </row>
    <row r="804">
      <c r="A804" s="7" t="n"/>
      <c r="B804" s="6" t="n"/>
      <c r="C804" s="6" t="n"/>
      <c r="D804" s="6">
        <f>IF(C804="","",IFERROR(VLOOKUP(C804,Lists!$C:$D,2,FALSE),""))</f>
        <v/>
      </c>
      <c r="E804" s="6" t="n"/>
      <c r="F804" s="6" t="n"/>
      <c r="G804" s="7">
        <f>IF(A804="","",A804+(7-WEEKDAY(A804,2)))</f>
        <v/>
      </c>
      <c r="H804" s="6">
        <f>IF(OR(A804="",B804=""),"",SUMIFS($E$2:$E$1001,$A$2:$A$1001,A804,$B$2:$B$1001,B804))</f>
        <v/>
      </c>
    </row>
    <row r="805">
      <c r="A805" s="7" t="n"/>
      <c r="B805" s="6" t="n"/>
      <c r="C805" s="6" t="n"/>
      <c r="D805" s="6">
        <f>IF(C805="","",IFERROR(VLOOKUP(C805,Lists!$C:$D,2,FALSE),""))</f>
        <v/>
      </c>
      <c r="E805" s="6" t="n"/>
      <c r="F805" s="6" t="n"/>
      <c r="G805" s="7">
        <f>IF(A805="","",A805+(7-WEEKDAY(A805,2)))</f>
        <v/>
      </c>
      <c r="H805" s="6">
        <f>IF(OR(A805="",B805=""),"",SUMIFS($E$2:$E$1001,$A$2:$A$1001,A805,$B$2:$B$1001,B805))</f>
        <v/>
      </c>
    </row>
    <row r="806">
      <c r="A806" s="7" t="n"/>
      <c r="B806" s="6" t="n"/>
      <c r="C806" s="6" t="n"/>
      <c r="D806" s="6">
        <f>IF(C806="","",IFERROR(VLOOKUP(C806,Lists!$C:$D,2,FALSE),""))</f>
        <v/>
      </c>
      <c r="E806" s="6" t="n"/>
      <c r="F806" s="6" t="n"/>
      <c r="G806" s="7">
        <f>IF(A806="","",A806+(7-WEEKDAY(A806,2)))</f>
        <v/>
      </c>
      <c r="H806" s="6">
        <f>IF(OR(A806="",B806=""),"",SUMIFS($E$2:$E$1001,$A$2:$A$1001,A806,$B$2:$B$1001,B806))</f>
        <v/>
      </c>
    </row>
    <row r="807">
      <c r="A807" s="7" t="n"/>
      <c r="B807" s="6" t="n"/>
      <c r="C807" s="6" t="n"/>
      <c r="D807" s="6">
        <f>IF(C807="","",IFERROR(VLOOKUP(C807,Lists!$C:$D,2,FALSE),""))</f>
        <v/>
      </c>
      <c r="E807" s="6" t="n"/>
      <c r="F807" s="6" t="n"/>
      <c r="G807" s="7">
        <f>IF(A807="","",A807+(7-WEEKDAY(A807,2)))</f>
        <v/>
      </c>
      <c r="H807" s="6">
        <f>IF(OR(A807="",B807=""),"",SUMIFS($E$2:$E$1001,$A$2:$A$1001,A807,$B$2:$B$1001,B807))</f>
        <v/>
      </c>
    </row>
    <row r="808">
      <c r="A808" s="7" t="n"/>
      <c r="B808" s="6" t="n"/>
      <c r="C808" s="6" t="n"/>
      <c r="D808" s="6">
        <f>IF(C808="","",IFERROR(VLOOKUP(C808,Lists!$C:$D,2,FALSE),""))</f>
        <v/>
      </c>
      <c r="E808" s="6" t="n"/>
      <c r="F808" s="6" t="n"/>
      <c r="G808" s="7">
        <f>IF(A808="","",A808+(7-WEEKDAY(A808,2)))</f>
        <v/>
      </c>
      <c r="H808" s="6">
        <f>IF(OR(A808="",B808=""),"",SUMIFS($E$2:$E$1001,$A$2:$A$1001,A808,$B$2:$B$1001,B808))</f>
        <v/>
      </c>
    </row>
    <row r="809">
      <c r="A809" s="7" t="n"/>
      <c r="B809" s="6" t="n"/>
      <c r="C809" s="6" t="n"/>
      <c r="D809" s="6">
        <f>IF(C809="","",IFERROR(VLOOKUP(C809,Lists!$C:$D,2,FALSE),""))</f>
        <v/>
      </c>
      <c r="E809" s="6" t="n"/>
      <c r="F809" s="6" t="n"/>
      <c r="G809" s="7">
        <f>IF(A809="","",A809+(7-WEEKDAY(A809,2)))</f>
        <v/>
      </c>
      <c r="H809" s="6">
        <f>IF(OR(A809="",B809=""),"",SUMIFS($E$2:$E$1001,$A$2:$A$1001,A809,$B$2:$B$1001,B809))</f>
        <v/>
      </c>
    </row>
    <row r="810">
      <c r="A810" s="7" t="n"/>
      <c r="B810" s="6" t="n"/>
      <c r="C810" s="6" t="n"/>
      <c r="D810" s="6">
        <f>IF(C810="","",IFERROR(VLOOKUP(C810,Lists!$C:$D,2,FALSE),""))</f>
        <v/>
      </c>
      <c r="E810" s="6" t="n"/>
      <c r="F810" s="6" t="n"/>
      <c r="G810" s="7">
        <f>IF(A810="","",A810+(7-WEEKDAY(A810,2)))</f>
        <v/>
      </c>
      <c r="H810" s="6">
        <f>IF(OR(A810="",B810=""),"",SUMIFS($E$2:$E$1001,$A$2:$A$1001,A810,$B$2:$B$1001,B810))</f>
        <v/>
      </c>
    </row>
    <row r="811">
      <c r="A811" s="7" t="n"/>
      <c r="B811" s="6" t="n"/>
      <c r="C811" s="6" t="n"/>
      <c r="D811" s="6">
        <f>IF(C811="","",IFERROR(VLOOKUP(C811,Lists!$C:$D,2,FALSE),""))</f>
        <v/>
      </c>
      <c r="E811" s="6" t="n"/>
      <c r="F811" s="6" t="n"/>
      <c r="G811" s="7">
        <f>IF(A811="","",A811+(7-WEEKDAY(A811,2)))</f>
        <v/>
      </c>
      <c r="H811" s="6">
        <f>IF(OR(A811="",B811=""),"",SUMIFS($E$2:$E$1001,$A$2:$A$1001,A811,$B$2:$B$1001,B811))</f>
        <v/>
      </c>
    </row>
    <row r="812">
      <c r="A812" s="7" t="n"/>
      <c r="B812" s="6" t="n"/>
      <c r="C812" s="6" t="n"/>
      <c r="D812" s="6">
        <f>IF(C812="","",IFERROR(VLOOKUP(C812,Lists!$C:$D,2,FALSE),""))</f>
        <v/>
      </c>
      <c r="E812" s="6" t="n"/>
      <c r="F812" s="6" t="n"/>
      <c r="G812" s="7">
        <f>IF(A812="","",A812+(7-WEEKDAY(A812,2)))</f>
        <v/>
      </c>
      <c r="H812" s="6">
        <f>IF(OR(A812="",B812=""),"",SUMIFS($E$2:$E$1001,$A$2:$A$1001,A812,$B$2:$B$1001,B812))</f>
        <v/>
      </c>
    </row>
    <row r="813">
      <c r="A813" s="7" t="n"/>
      <c r="B813" s="6" t="n"/>
      <c r="C813" s="6" t="n"/>
      <c r="D813" s="6">
        <f>IF(C813="","",IFERROR(VLOOKUP(C813,Lists!$C:$D,2,FALSE),""))</f>
        <v/>
      </c>
      <c r="E813" s="6" t="n"/>
      <c r="F813" s="6" t="n"/>
      <c r="G813" s="7">
        <f>IF(A813="","",A813+(7-WEEKDAY(A813,2)))</f>
        <v/>
      </c>
      <c r="H813" s="6">
        <f>IF(OR(A813="",B813=""),"",SUMIFS($E$2:$E$1001,$A$2:$A$1001,A813,$B$2:$B$1001,B813))</f>
        <v/>
      </c>
    </row>
    <row r="814">
      <c r="A814" s="7" t="n"/>
      <c r="B814" s="6" t="n"/>
      <c r="C814" s="6" t="n"/>
      <c r="D814" s="6">
        <f>IF(C814="","",IFERROR(VLOOKUP(C814,Lists!$C:$D,2,FALSE),""))</f>
        <v/>
      </c>
      <c r="E814" s="6" t="n"/>
      <c r="F814" s="6" t="n"/>
      <c r="G814" s="7">
        <f>IF(A814="","",A814+(7-WEEKDAY(A814,2)))</f>
        <v/>
      </c>
      <c r="H814" s="6">
        <f>IF(OR(A814="",B814=""),"",SUMIFS($E$2:$E$1001,$A$2:$A$1001,A814,$B$2:$B$1001,B814))</f>
        <v/>
      </c>
    </row>
    <row r="815">
      <c r="A815" s="7" t="n"/>
      <c r="B815" s="6" t="n"/>
      <c r="C815" s="6" t="n"/>
      <c r="D815" s="6">
        <f>IF(C815="","",IFERROR(VLOOKUP(C815,Lists!$C:$D,2,FALSE),""))</f>
        <v/>
      </c>
      <c r="E815" s="6" t="n"/>
      <c r="F815" s="6" t="n"/>
      <c r="G815" s="7">
        <f>IF(A815="","",A815+(7-WEEKDAY(A815,2)))</f>
        <v/>
      </c>
      <c r="H815" s="6">
        <f>IF(OR(A815="",B815=""),"",SUMIFS($E$2:$E$1001,$A$2:$A$1001,A815,$B$2:$B$1001,B815))</f>
        <v/>
      </c>
    </row>
    <row r="816">
      <c r="A816" s="7" t="n"/>
      <c r="B816" s="6" t="n"/>
      <c r="C816" s="6" t="n"/>
      <c r="D816" s="6">
        <f>IF(C816="","",IFERROR(VLOOKUP(C816,Lists!$C:$D,2,FALSE),""))</f>
        <v/>
      </c>
      <c r="E816" s="6" t="n"/>
      <c r="F816" s="6" t="n"/>
      <c r="G816" s="7">
        <f>IF(A816="","",A816+(7-WEEKDAY(A816,2)))</f>
        <v/>
      </c>
      <c r="H816" s="6">
        <f>IF(OR(A816="",B816=""),"",SUMIFS($E$2:$E$1001,$A$2:$A$1001,A816,$B$2:$B$1001,B816))</f>
        <v/>
      </c>
    </row>
    <row r="817">
      <c r="A817" s="7" t="n"/>
      <c r="B817" s="6" t="n"/>
      <c r="C817" s="6" t="n"/>
      <c r="D817" s="6">
        <f>IF(C817="","",IFERROR(VLOOKUP(C817,Lists!$C:$D,2,FALSE),""))</f>
        <v/>
      </c>
      <c r="E817" s="6" t="n"/>
      <c r="F817" s="6" t="n"/>
      <c r="G817" s="7">
        <f>IF(A817="","",A817+(7-WEEKDAY(A817,2)))</f>
        <v/>
      </c>
      <c r="H817" s="6">
        <f>IF(OR(A817="",B817=""),"",SUMIFS($E$2:$E$1001,$A$2:$A$1001,A817,$B$2:$B$1001,B817))</f>
        <v/>
      </c>
    </row>
    <row r="818">
      <c r="A818" s="7" t="n"/>
      <c r="B818" s="6" t="n"/>
      <c r="C818" s="6" t="n"/>
      <c r="D818" s="6">
        <f>IF(C818="","",IFERROR(VLOOKUP(C818,Lists!$C:$D,2,FALSE),""))</f>
        <v/>
      </c>
      <c r="E818" s="6" t="n"/>
      <c r="F818" s="6" t="n"/>
      <c r="G818" s="7">
        <f>IF(A818="","",A818+(7-WEEKDAY(A818,2)))</f>
        <v/>
      </c>
      <c r="H818" s="6">
        <f>IF(OR(A818="",B818=""),"",SUMIFS($E$2:$E$1001,$A$2:$A$1001,A818,$B$2:$B$1001,B818))</f>
        <v/>
      </c>
    </row>
    <row r="819">
      <c r="A819" s="7" t="n"/>
      <c r="B819" s="6" t="n"/>
      <c r="C819" s="6" t="n"/>
      <c r="D819" s="6">
        <f>IF(C819="","",IFERROR(VLOOKUP(C819,Lists!$C:$D,2,FALSE),""))</f>
        <v/>
      </c>
      <c r="E819" s="6" t="n"/>
      <c r="F819" s="6" t="n"/>
      <c r="G819" s="7">
        <f>IF(A819="","",A819+(7-WEEKDAY(A819,2)))</f>
        <v/>
      </c>
      <c r="H819" s="6">
        <f>IF(OR(A819="",B819=""),"",SUMIFS($E$2:$E$1001,$A$2:$A$1001,A819,$B$2:$B$1001,B819))</f>
        <v/>
      </c>
    </row>
    <row r="820">
      <c r="A820" s="7" t="n"/>
      <c r="B820" s="6" t="n"/>
      <c r="C820" s="6" t="n"/>
      <c r="D820" s="6">
        <f>IF(C820="","",IFERROR(VLOOKUP(C820,Lists!$C:$D,2,FALSE),""))</f>
        <v/>
      </c>
      <c r="E820" s="6" t="n"/>
      <c r="F820" s="6" t="n"/>
      <c r="G820" s="7">
        <f>IF(A820="","",A820+(7-WEEKDAY(A820,2)))</f>
        <v/>
      </c>
      <c r="H820" s="6">
        <f>IF(OR(A820="",B820=""),"",SUMIFS($E$2:$E$1001,$A$2:$A$1001,A820,$B$2:$B$1001,B820))</f>
        <v/>
      </c>
    </row>
    <row r="821">
      <c r="A821" s="7" t="n"/>
      <c r="B821" s="6" t="n"/>
      <c r="C821" s="6" t="n"/>
      <c r="D821" s="6">
        <f>IF(C821="","",IFERROR(VLOOKUP(C821,Lists!$C:$D,2,FALSE),""))</f>
        <v/>
      </c>
      <c r="E821" s="6" t="n"/>
      <c r="F821" s="6" t="n"/>
      <c r="G821" s="7">
        <f>IF(A821="","",A821+(7-WEEKDAY(A821,2)))</f>
        <v/>
      </c>
      <c r="H821" s="6">
        <f>IF(OR(A821="",B821=""),"",SUMIFS($E$2:$E$1001,$A$2:$A$1001,A821,$B$2:$B$1001,B821))</f>
        <v/>
      </c>
    </row>
    <row r="822">
      <c r="A822" s="7" t="n"/>
      <c r="B822" s="6" t="n"/>
      <c r="C822" s="6" t="n"/>
      <c r="D822" s="6">
        <f>IF(C822="","",IFERROR(VLOOKUP(C822,Lists!$C:$D,2,FALSE),""))</f>
        <v/>
      </c>
      <c r="E822" s="6" t="n"/>
      <c r="F822" s="6" t="n"/>
      <c r="G822" s="7">
        <f>IF(A822="","",A822+(7-WEEKDAY(A822,2)))</f>
        <v/>
      </c>
      <c r="H822" s="6">
        <f>IF(OR(A822="",B822=""),"",SUMIFS($E$2:$E$1001,$A$2:$A$1001,A822,$B$2:$B$1001,B822))</f>
        <v/>
      </c>
    </row>
    <row r="823">
      <c r="A823" s="7" t="n"/>
      <c r="B823" s="6" t="n"/>
      <c r="C823" s="6" t="n"/>
      <c r="D823" s="6">
        <f>IF(C823="","",IFERROR(VLOOKUP(C823,Lists!$C:$D,2,FALSE),""))</f>
        <v/>
      </c>
      <c r="E823" s="6" t="n"/>
      <c r="F823" s="6" t="n"/>
      <c r="G823" s="7">
        <f>IF(A823="","",A823+(7-WEEKDAY(A823,2)))</f>
        <v/>
      </c>
      <c r="H823" s="6">
        <f>IF(OR(A823="",B823=""),"",SUMIFS($E$2:$E$1001,$A$2:$A$1001,A823,$B$2:$B$1001,B823))</f>
        <v/>
      </c>
    </row>
    <row r="824">
      <c r="A824" s="7" t="n"/>
      <c r="B824" s="6" t="n"/>
      <c r="C824" s="6" t="n"/>
      <c r="D824" s="6">
        <f>IF(C824="","",IFERROR(VLOOKUP(C824,Lists!$C:$D,2,FALSE),""))</f>
        <v/>
      </c>
      <c r="E824" s="6" t="n"/>
      <c r="F824" s="6" t="n"/>
      <c r="G824" s="7">
        <f>IF(A824="","",A824+(7-WEEKDAY(A824,2)))</f>
        <v/>
      </c>
      <c r="H824" s="6">
        <f>IF(OR(A824="",B824=""),"",SUMIFS($E$2:$E$1001,$A$2:$A$1001,A824,$B$2:$B$1001,B824))</f>
        <v/>
      </c>
    </row>
    <row r="825">
      <c r="A825" s="7" t="n"/>
      <c r="B825" s="6" t="n"/>
      <c r="C825" s="6" t="n"/>
      <c r="D825" s="6">
        <f>IF(C825="","",IFERROR(VLOOKUP(C825,Lists!$C:$D,2,FALSE),""))</f>
        <v/>
      </c>
      <c r="E825" s="6" t="n"/>
      <c r="F825" s="6" t="n"/>
      <c r="G825" s="7">
        <f>IF(A825="","",A825+(7-WEEKDAY(A825,2)))</f>
        <v/>
      </c>
      <c r="H825" s="6">
        <f>IF(OR(A825="",B825=""),"",SUMIFS($E$2:$E$1001,$A$2:$A$1001,A825,$B$2:$B$1001,B825))</f>
        <v/>
      </c>
    </row>
    <row r="826">
      <c r="A826" s="7" t="n"/>
      <c r="B826" s="6" t="n"/>
      <c r="C826" s="6" t="n"/>
      <c r="D826" s="6">
        <f>IF(C826="","",IFERROR(VLOOKUP(C826,Lists!$C:$D,2,FALSE),""))</f>
        <v/>
      </c>
      <c r="E826" s="6" t="n"/>
      <c r="F826" s="6" t="n"/>
      <c r="G826" s="7">
        <f>IF(A826="","",A826+(7-WEEKDAY(A826,2)))</f>
        <v/>
      </c>
      <c r="H826" s="6">
        <f>IF(OR(A826="",B826=""),"",SUMIFS($E$2:$E$1001,$A$2:$A$1001,A826,$B$2:$B$1001,B826))</f>
        <v/>
      </c>
    </row>
    <row r="827">
      <c r="A827" s="7" t="n"/>
      <c r="B827" s="6" t="n"/>
      <c r="C827" s="6" t="n"/>
      <c r="D827" s="6">
        <f>IF(C827="","",IFERROR(VLOOKUP(C827,Lists!$C:$D,2,FALSE),""))</f>
        <v/>
      </c>
      <c r="E827" s="6" t="n"/>
      <c r="F827" s="6" t="n"/>
      <c r="G827" s="7">
        <f>IF(A827="","",A827+(7-WEEKDAY(A827,2)))</f>
        <v/>
      </c>
      <c r="H827" s="6">
        <f>IF(OR(A827="",B827=""),"",SUMIFS($E$2:$E$1001,$A$2:$A$1001,A827,$B$2:$B$1001,B827))</f>
        <v/>
      </c>
    </row>
    <row r="828">
      <c r="A828" s="7" t="n"/>
      <c r="B828" s="6" t="n"/>
      <c r="C828" s="6" t="n"/>
      <c r="D828" s="6">
        <f>IF(C828="","",IFERROR(VLOOKUP(C828,Lists!$C:$D,2,FALSE),""))</f>
        <v/>
      </c>
      <c r="E828" s="6" t="n"/>
      <c r="F828" s="6" t="n"/>
      <c r="G828" s="7">
        <f>IF(A828="","",A828+(7-WEEKDAY(A828,2)))</f>
        <v/>
      </c>
      <c r="H828" s="6">
        <f>IF(OR(A828="",B828=""),"",SUMIFS($E$2:$E$1001,$A$2:$A$1001,A828,$B$2:$B$1001,B828))</f>
        <v/>
      </c>
    </row>
    <row r="829">
      <c r="A829" s="7" t="n"/>
      <c r="B829" s="6" t="n"/>
      <c r="C829" s="6" t="n"/>
      <c r="D829" s="6">
        <f>IF(C829="","",IFERROR(VLOOKUP(C829,Lists!$C:$D,2,FALSE),""))</f>
        <v/>
      </c>
      <c r="E829" s="6" t="n"/>
      <c r="F829" s="6" t="n"/>
      <c r="G829" s="7">
        <f>IF(A829="","",A829+(7-WEEKDAY(A829,2)))</f>
        <v/>
      </c>
      <c r="H829" s="6">
        <f>IF(OR(A829="",B829=""),"",SUMIFS($E$2:$E$1001,$A$2:$A$1001,A829,$B$2:$B$1001,B829))</f>
        <v/>
      </c>
    </row>
    <row r="830">
      <c r="A830" s="7" t="n"/>
      <c r="B830" s="6" t="n"/>
      <c r="C830" s="6" t="n"/>
      <c r="D830" s="6">
        <f>IF(C830="","",IFERROR(VLOOKUP(C830,Lists!$C:$D,2,FALSE),""))</f>
        <v/>
      </c>
      <c r="E830" s="6" t="n"/>
      <c r="F830" s="6" t="n"/>
      <c r="G830" s="7">
        <f>IF(A830="","",A830+(7-WEEKDAY(A830,2)))</f>
        <v/>
      </c>
      <c r="H830" s="6">
        <f>IF(OR(A830="",B830=""),"",SUMIFS($E$2:$E$1001,$A$2:$A$1001,A830,$B$2:$B$1001,B830))</f>
        <v/>
      </c>
    </row>
    <row r="831">
      <c r="A831" s="7" t="n"/>
      <c r="B831" s="6" t="n"/>
      <c r="C831" s="6" t="n"/>
      <c r="D831" s="6">
        <f>IF(C831="","",IFERROR(VLOOKUP(C831,Lists!$C:$D,2,FALSE),""))</f>
        <v/>
      </c>
      <c r="E831" s="6" t="n"/>
      <c r="F831" s="6" t="n"/>
      <c r="G831" s="7">
        <f>IF(A831="","",A831+(7-WEEKDAY(A831,2)))</f>
        <v/>
      </c>
      <c r="H831" s="6">
        <f>IF(OR(A831="",B831=""),"",SUMIFS($E$2:$E$1001,$A$2:$A$1001,A831,$B$2:$B$1001,B831))</f>
        <v/>
      </c>
    </row>
    <row r="832">
      <c r="A832" s="7" t="n"/>
      <c r="B832" s="6" t="n"/>
      <c r="C832" s="6" t="n"/>
      <c r="D832" s="6">
        <f>IF(C832="","",IFERROR(VLOOKUP(C832,Lists!$C:$D,2,FALSE),""))</f>
        <v/>
      </c>
      <c r="E832" s="6" t="n"/>
      <c r="F832" s="6" t="n"/>
      <c r="G832" s="7">
        <f>IF(A832="","",A832+(7-WEEKDAY(A832,2)))</f>
        <v/>
      </c>
      <c r="H832" s="6">
        <f>IF(OR(A832="",B832=""),"",SUMIFS($E$2:$E$1001,$A$2:$A$1001,A832,$B$2:$B$1001,B832))</f>
        <v/>
      </c>
    </row>
    <row r="833">
      <c r="A833" s="7" t="n"/>
      <c r="B833" s="6" t="n"/>
      <c r="C833" s="6" t="n"/>
      <c r="D833" s="6">
        <f>IF(C833="","",IFERROR(VLOOKUP(C833,Lists!$C:$D,2,FALSE),""))</f>
        <v/>
      </c>
      <c r="E833" s="6" t="n"/>
      <c r="F833" s="6" t="n"/>
      <c r="G833" s="7">
        <f>IF(A833="","",A833+(7-WEEKDAY(A833,2)))</f>
        <v/>
      </c>
      <c r="H833" s="6">
        <f>IF(OR(A833="",B833=""),"",SUMIFS($E$2:$E$1001,$A$2:$A$1001,A833,$B$2:$B$1001,B833))</f>
        <v/>
      </c>
    </row>
    <row r="834">
      <c r="A834" s="7" t="n"/>
      <c r="B834" s="6" t="n"/>
      <c r="C834" s="6" t="n"/>
      <c r="D834" s="6">
        <f>IF(C834="","",IFERROR(VLOOKUP(C834,Lists!$C:$D,2,FALSE),""))</f>
        <v/>
      </c>
      <c r="E834" s="6" t="n"/>
      <c r="F834" s="6" t="n"/>
      <c r="G834" s="7">
        <f>IF(A834="","",A834+(7-WEEKDAY(A834,2)))</f>
        <v/>
      </c>
      <c r="H834" s="6">
        <f>IF(OR(A834="",B834=""),"",SUMIFS($E$2:$E$1001,$A$2:$A$1001,A834,$B$2:$B$1001,B834))</f>
        <v/>
      </c>
    </row>
    <row r="835">
      <c r="A835" s="7" t="n"/>
      <c r="B835" s="6" t="n"/>
      <c r="C835" s="6" t="n"/>
      <c r="D835" s="6">
        <f>IF(C835="","",IFERROR(VLOOKUP(C835,Lists!$C:$D,2,FALSE),""))</f>
        <v/>
      </c>
      <c r="E835" s="6" t="n"/>
      <c r="F835" s="6" t="n"/>
      <c r="G835" s="7">
        <f>IF(A835="","",A835+(7-WEEKDAY(A835,2)))</f>
        <v/>
      </c>
      <c r="H835" s="6">
        <f>IF(OR(A835="",B835=""),"",SUMIFS($E$2:$E$1001,$A$2:$A$1001,A835,$B$2:$B$1001,B835))</f>
        <v/>
      </c>
    </row>
    <row r="836">
      <c r="A836" s="7" t="n"/>
      <c r="B836" s="6" t="n"/>
      <c r="C836" s="6" t="n"/>
      <c r="D836" s="6">
        <f>IF(C836="","",IFERROR(VLOOKUP(C836,Lists!$C:$D,2,FALSE),""))</f>
        <v/>
      </c>
      <c r="E836" s="6" t="n"/>
      <c r="F836" s="6" t="n"/>
      <c r="G836" s="7">
        <f>IF(A836="","",A836+(7-WEEKDAY(A836,2)))</f>
        <v/>
      </c>
      <c r="H836" s="6">
        <f>IF(OR(A836="",B836=""),"",SUMIFS($E$2:$E$1001,$A$2:$A$1001,A836,$B$2:$B$1001,B836))</f>
        <v/>
      </c>
    </row>
    <row r="837">
      <c r="A837" s="7" t="n"/>
      <c r="B837" s="6" t="n"/>
      <c r="C837" s="6" t="n"/>
      <c r="D837" s="6">
        <f>IF(C837="","",IFERROR(VLOOKUP(C837,Lists!$C:$D,2,FALSE),""))</f>
        <v/>
      </c>
      <c r="E837" s="6" t="n"/>
      <c r="F837" s="6" t="n"/>
      <c r="G837" s="7">
        <f>IF(A837="","",A837+(7-WEEKDAY(A837,2)))</f>
        <v/>
      </c>
      <c r="H837" s="6">
        <f>IF(OR(A837="",B837=""),"",SUMIFS($E$2:$E$1001,$A$2:$A$1001,A837,$B$2:$B$1001,B837))</f>
        <v/>
      </c>
    </row>
    <row r="838">
      <c r="A838" s="7" t="n"/>
      <c r="B838" s="6" t="n"/>
      <c r="C838" s="6" t="n"/>
      <c r="D838" s="6">
        <f>IF(C838="","",IFERROR(VLOOKUP(C838,Lists!$C:$D,2,FALSE),""))</f>
        <v/>
      </c>
      <c r="E838" s="6" t="n"/>
      <c r="F838" s="6" t="n"/>
      <c r="G838" s="7">
        <f>IF(A838="","",A838+(7-WEEKDAY(A838,2)))</f>
        <v/>
      </c>
      <c r="H838" s="6">
        <f>IF(OR(A838="",B838=""),"",SUMIFS($E$2:$E$1001,$A$2:$A$1001,A838,$B$2:$B$1001,B838))</f>
        <v/>
      </c>
    </row>
    <row r="839">
      <c r="A839" s="7" t="n"/>
      <c r="B839" s="6" t="n"/>
      <c r="C839" s="6" t="n"/>
      <c r="D839" s="6">
        <f>IF(C839="","",IFERROR(VLOOKUP(C839,Lists!$C:$D,2,FALSE),""))</f>
        <v/>
      </c>
      <c r="E839" s="6" t="n"/>
      <c r="F839" s="6" t="n"/>
      <c r="G839" s="7">
        <f>IF(A839="","",A839+(7-WEEKDAY(A839,2)))</f>
        <v/>
      </c>
      <c r="H839" s="6">
        <f>IF(OR(A839="",B839=""),"",SUMIFS($E$2:$E$1001,$A$2:$A$1001,A839,$B$2:$B$1001,B839))</f>
        <v/>
      </c>
    </row>
    <row r="840">
      <c r="A840" s="7" t="n"/>
      <c r="B840" s="6" t="n"/>
      <c r="C840" s="6" t="n"/>
      <c r="D840" s="6">
        <f>IF(C840="","",IFERROR(VLOOKUP(C840,Lists!$C:$D,2,FALSE),""))</f>
        <v/>
      </c>
      <c r="E840" s="6" t="n"/>
      <c r="F840" s="6" t="n"/>
      <c r="G840" s="7">
        <f>IF(A840="","",A840+(7-WEEKDAY(A840,2)))</f>
        <v/>
      </c>
      <c r="H840" s="6">
        <f>IF(OR(A840="",B840=""),"",SUMIFS($E$2:$E$1001,$A$2:$A$1001,A840,$B$2:$B$1001,B840))</f>
        <v/>
      </c>
    </row>
    <row r="841">
      <c r="A841" s="7" t="n"/>
      <c r="B841" s="6" t="n"/>
      <c r="C841" s="6" t="n"/>
      <c r="D841" s="6">
        <f>IF(C841="","",IFERROR(VLOOKUP(C841,Lists!$C:$D,2,FALSE),""))</f>
        <v/>
      </c>
      <c r="E841" s="6" t="n"/>
      <c r="F841" s="6" t="n"/>
      <c r="G841" s="7">
        <f>IF(A841="","",A841+(7-WEEKDAY(A841,2)))</f>
        <v/>
      </c>
      <c r="H841" s="6">
        <f>IF(OR(A841="",B841=""),"",SUMIFS($E$2:$E$1001,$A$2:$A$1001,A841,$B$2:$B$1001,B841))</f>
        <v/>
      </c>
    </row>
    <row r="842">
      <c r="A842" s="7" t="n"/>
      <c r="B842" s="6" t="n"/>
      <c r="C842" s="6" t="n"/>
      <c r="D842" s="6">
        <f>IF(C842="","",IFERROR(VLOOKUP(C842,Lists!$C:$D,2,FALSE),""))</f>
        <v/>
      </c>
      <c r="E842" s="6" t="n"/>
      <c r="F842" s="6" t="n"/>
      <c r="G842" s="7">
        <f>IF(A842="","",A842+(7-WEEKDAY(A842,2)))</f>
        <v/>
      </c>
      <c r="H842" s="6">
        <f>IF(OR(A842="",B842=""),"",SUMIFS($E$2:$E$1001,$A$2:$A$1001,A842,$B$2:$B$1001,B842))</f>
        <v/>
      </c>
    </row>
    <row r="843">
      <c r="A843" s="7" t="n"/>
      <c r="B843" s="6" t="n"/>
      <c r="C843" s="6" t="n"/>
      <c r="D843" s="6">
        <f>IF(C843="","",IFERROR(VLOOKUP(C843,Lists!$C:$D,2,FALSE),""))</f>
        <v/>
      </c>
      <c r="E843" s="6" t="n"/>
      <c r="F843" s="6" t="n"/>
      <c r="G843" s="7">
        <f>IF(A843="","",A843+(7-WEEKDAY(A843,2)))</f>
        <v/>
      </c>
      <c r="H843" s="6">
        <f>IF(OR(A843="",B843=""),"",SUMIFS($E$2:$E$1001,$A$2:$A$1001,A843,$B$2:$B$1001,B843))</f>
        <v/>
      </c>
    </row>
    <row r="844">
      <c r="A844" s="7" t="n"/>
      <c r="B844" s="6" t="n"/>
      <c r="C844" s="6" t="n"/>
      <c r="D844" s="6">
        <f>IF(C844="","",IFERROR(VLOOKUP(C844,Lists!$C:$D,2,FALSE),""))</f>
        <v/>
      </c>
      <c r="E844" s="6" t="n"/>
      <c r="F844" s="6" t="n"/>
      <c r="G844" s="7">
        <f>IF(A844="","",A844+(7-WEEKDAY(A844,2)))</f>
        <v/>
      </c>
      <c r="H844" s="6">
        <f>IF(OR(A844="",B844=""),"",SUMIFS($E$2:$E$1001,$A$2:$A$1001,A844,$B$2:$B$1001,B844))</f>
        <v/>
      </c>
    </row>
    <row r="845">
      <c r="A845" s="7" t="n"/>
      <c r="B845" s="6" t="n"/>
      <c r="C845" s="6" t="n"/>
      <c r="D845" s="6">
        <f>IF(C845="","",IFERROR(VLOOKUP(C845,Lists!$C:$D,2,FALSE),""))</f>
        <v/>
      </c>
      <c r="E845" s="6" t="n"/>
      <c r="F845" s="6" t="n"/>
      <c r="G845" s="7">
        <f>IF(A845="","",A845+(7-WEEKDAY(A845,2)))</f>
        <v/>
      </c>
      <c r="H845" s="6">
        <f>IF(OR(A845="",B845=""),"",SUMIFS($E$2:$E$1001,$A$2:$A$1001,A845,$B$2:$B$1001,B845))</f>
        <v/>
      </c>
    </row>
    <row r="846">
      <c r="A846" s="7" t="n"/>
      <c r="B846" s="6" t="n"/>
      <c r="C846" s="6" t="n"/>
      <c r="D846" s="6">
        <f>IF(C846="","",IFERROR(VLOOKUP(C846,Lists!$C:$D,2,FALSE),""))</f>
        <v/>
      </c>
      <c r="E846" s="6" t="n"/>
      <c r="F846" s="6" t="n"/>
      <c r="G846" s="7">
        <f>IF(A846="","",A846+(7-WEEKDAY(A846,2)))</f>
        <v/>
      </c>
      <c r="H846" s="6">
        <f>IF(OR(A846="",B846=""),"",SUMIFS($E$2:$E$1001,$A$2:$A$1001,A846,$B$2:$B$1001,B846))</f>
        <v/>
      </c>
    </row>
    <row r="847">
      <c r="A847" s="7" t="n"/>
      <c r="B847" s="6" t="n"/>
      <c r="C847" s="6" t="n"/>
      <c r="D847" s="6">
        <f>IF(C847="","",IFERROR(VLOOKUP(C847,Lists!$C:$D,2,FALSE),""))</f>
        <v/>
      </c>
      <c r="E847" s="6" t="n"/>
      <c r="F847" s="6" t="n"/>
      <c r="G847" s="7">
        <f>IF(A847="","",A847+(7-WEEKDAY(A847,2)))</f>
        <v/>
      </c>
      <c r="H847" s="6">
        <f>IF(OR(A847="",B847=""),"",SUMIFS($E$2:$E$1001,$A$2:$A$1001,A847,$B$2:$B$1001,B847))</f>
        <v/>
      </c>
    </row>
    <row r="848">
      <c r="A848" s="7" t="n"/>
      <c r="B848" s="6" t="n"/>
      <c r="C848" s="6" t="n"/>
      <c r="D848" s="6">
        <f>IF(C848="","",IFERROR(VLOOKUP(C848,Lists!$C:$D,2,FALSE),""))</f>
        <v/>
      </c>
      <c r="E848" s="6" t="n"/>
      <c r="F848" s="6" t="n"/>
      <c r="G848" s="7">
        <f>IF(A848="","",A848+(7-WEEKDAY(A848,2)))</f>
        <v/>
      </c>
      <c r="H848" s="6">
        <f>IF(OR(A848="",B848=""),"",SUMIFS($E$2:$E$1001,$A$2:$A$1001,A848,$B$2:$B$1001,B848))</f>
        <v/>
      </c>
    </row>
    <row r="849">
      <c r="A849" s="7" t="n"/>
      <c r="B849" s="6" t="n"/>
      <c r="C849" s="6" t="n"/>
      <c r="D849" s="6">
        <f>IF(C849="","",IFERROR(VLOOKUP(C849,Lists!$C:$D,2,FALSE),""))</f>
        <v/>
      </c>
      <c r="E849" s="6" t="n"/>
      <c r="F849" s="6" t="n"/>
      <c r="G849" s="7">
        <f>IF(A849="","",A849+(7-WEEKDAY(A849,2)))</f>
        <v/>
      </c>
      <c r="H849" s="6">
        <f>IF(OR(A849="",B849=""),"",SUMIFS($E$2:$E$1001,$A$2:$A$1001,A849,$B$2:$B$1001,B849))</f>
        <v/>
      </c>
    </row>
    <row r="850">
      <c r="A850" s="7" t="n"/>
      <c r="B850" s="6" t="n"/>
      <c r="C850" s="6" t="n"/>
      <c r="D850" s="6">
        <f>IF(C850="","",IFERROR(VLOOKUP(C850,Lists!$C:$D,2,FALSE),""))</f>
        <v/>
      </c>
      <c r="E850" s="6" t="n"/>
      <c r="F850" s="6" t="n"/>
      <c r="G850" s="7">
        <f>IF(A850="","",A850+(7-WEEKDAY(A850,2)))</f>
        <v/>
      </c>
      <c r="H850" s="6">
        <f>IF(OR(A850="",B850=""),"",SUMIFS($E$2:$E$1001,$A$2:$A$1001,A850,$B$2:$B$1001,B850))</f>
        <v/>
      </c>
    </row>
    <row r="851">
      <c r="A851" s="7" t="n"/>
      <c r="B851" s="6" t="n"/>
      <c r="C851" s="6" t="n"/>
      <c r="D851" s="6">
        <f>IF(C851="","",IFERROR(VLOOKUP(C851,Lists!$C:$D,2,FALSE),""))</f>
        <v/>
      </c>
      <c r="E851" s="6" t="n"/>
      <c r="F851" s="6" t="n"/>
      <c r="G851" s="7">
        <f>IF(A851="","",A851+(7-WEEKDAY(A851,2)))</f>
        <v/>
      </c>
      <c r="H851" s="6">
        <f>IF(OR(A851="",B851=""),"",SUMIFS($E$2:$E$1001,$A$2:$A$1001,A851,$B$2:$B$1001,B851))</f>
        <v/>
      </c>
    </row>
    <row r="852">
      <c r="A852" s="7" t="n"/>
      <c r="B852" s="6" t="n"/>
      <c r="C852" s="6" t="n"/>
      <c r="D852" s="6">
        <f>IF(C852="","",IFERROR(VLOOKUP(C852,Lists!$C:$D,2,FALSE),""))</f>
        <v/>
      </c>
      <c r="E852" s="6" t="n"/>
      <c r="F852" s="6" t="n"/>
      <c r="G852" s="7">
        <f>IF(A852="","",A852+(7-WEEKDAY(A852,2)))</f>
        <v/>
      </c>
      <c r="H852" s="6">
        <f>IF(OR(A852="",B852=""),"",SUMIFS($E$2:$E$1001,$A$2:$A$1001,A852,$B$2:$B$1001,B852))</f>
        <v/>
      </c>
    </row>
    <row r="853">
      <c r="A853" s="7" t="n"/>
      <c r="B853" s="6" t="n"/>
      <c r="C853" s="6" t="n"/>
      <c r="D853" s="6">
        <f>IF(C853="","",IFERROR(VLOOKUP(C853,Lists!$C:$D,2,FALSE),""))</f>
        <v/>
      </c>
      <c r="E853" s="6" t="n"/>
      <c r="F853" s="6" t="n"/>
      <c r="G853" s="7">
        <f>IF(A853="","",A853+(7-WEEKDAY(A853,2)))</f>
        <v/>
      </c>
      <c r="H853" s="6">
        <f>IF(OR(A853="",B853=""),"",SUMIFS($E$2:$E$1001,$A$2:$A$1001,A853,$B$2:$B$1001,B853))</f>
        <v/>
      </c>
    </row>
    <row r="854">
      <c r="A854" s="7" t="n"/>
      <c r="B854" s="6" t="n"/>
      <c r="C854" s="6" t="n"/>
      <c r="D854" s="6">
        <f>IF(C854="","",IFERROR(VLOOKUP(C854,Lists!$C:$D,2,FALSE),""))</f>
        <v/>
      </c>
      <c r="E854" s="6" t="n"/>
      <c r="F854" s="6" t="n"/>
      <c r="G854" s="7">
        <f>IF(A854="","",A854+(7-WEEKDAY(A854,2)))</f>
        <v/>
      </c>
      <c r="H854" s="6">
        <f>IF(OR(A854="",B854=""),"",SUMIFS($E$2:$E$1001,$A$2:$A$1001,A854,$B$2:$B$1001,B854))</f>
        <v/>
      </c>
    </row>
    <row r="855">
      <c r="A855" s="7" t="n"/>
      <c r="B855" s="6" t="n"/>
      <c r="C855" s="6" t="n"/>
      <c r="D855" s="6">
        <f>IF(C855="","",IFERROR(VLOOKUP(C855,Lists!$C:$D,2,FALSE),""))</f>
        <v/>
      </c>
      <c r="E855" s="6" t="n"/>
      <c r="F855" s="6" t="n"/>
      <c r="G855" s="7">
        <f>IF(A855="","",A855+(7-WEEKDAY(A855,2)))</f>
        <v/>
      </c>
      <c r="H855" s="6">
        <f>IF(OR(A855="",B855=""),"",SUMIFS($E$2:$E$1001,$A$2:$A$1001,A855,$B$2:$B$1001,B855))</f>
        <v/>
      </c>
    </row>
    <row r="856">
      <c r="A856" s="7" t="n"/>
      <c r="B856" s="6" t="n"/>
      <c r="C856" s="6" t="n"/>
      <c r="D856" s="6">
        <f>IF(C856="","",IFERROR(VLOOKUP(C856,Lists!$C:$D,2,FALSE),""))</f>
        <v/>
      </c>
      <c r="E856" s="6" t="n"/>
      <c r="F856" s="6" t="n"/>
      <c r="G856" s="7">
        <f>IF(A856="","",A856+(7-WEEKDAY(A856,2)))</f>
        <v/>
      </c>
      <c r="H856" s="6">
        <f>IF(OR(A856="",B856=""),"",SUMIFS($E$2:$E$1001,$A$2:$A$1001,A856,$B$2:$B$1001,B856))</f>
        <v/>
      </c>
    </row>
    <row r="857">
      <c r="A857" s="7" t="n"/>
      <c r="B857" s="6" t="n"/>
      <c r="C857" s="6" t="n"/>
      <c r="D857" s="6">
        <f>IF(C857="","",IFERROR(VLOOKUP(C857,Lists!$C:$D,2,FALSE),""))</f>
        <v/>
      </c>
      <c r="E857" s="6" t="n"/>
      <c r="F857" s="6" t="n"/>
      <c r="G857" s="7">
        <f>IF(A857="","",A857+(7-WEEKDAY(A857,2)))</f>
        <v/>
      </c>
      <c r="H857" s="6">
        <f>IF(OR(A857="",B857=""),"",SUMIFS($E$2:$E$1001,$A$2:$A$1001,A857,$B$2:$B$1001,B857))</f>
        <v/>
      </c>
    </row>
    <row r="858">
      <c r="A858" s="7" t="n"/>
      <c r="B858" s="6" t="n"/>
      <c r="C858" s="6" t="n"/>
      <c r="D858" s="6">
        <f>IF(C858="","",IFERROR(VLOOKUP(C858,Lists!$C:$D,2,FALSE),""))</f>
        <v/>
      </c>
      <c r="E858" s="6" t="n"/>
      <c r="F858" s="6" t="n"/>
      <c r="G858" s="7">
        <f>IF(A858="","",A858+(7-WEEKDAY(A858,2)))</f>
        <v/>
      </c>
      <c r="H858" s="6">
        <f>IF(OR(A858="",B858=""),"",SUMIFS($E$2:$E$1001,$A$2:$A$1001,A858,$B$2:$B$1001,B858))</f>
        <v/>
      </c>
    </row>
    <row r="859">
      <c r="A859" s="7" t="n"/>
      <c r="B859" s="6" t="n"/>
      <c r="C859" s="6" t="n"/>
      <c r="D859" s="6">
        <f>IF(C859="","",IFERROR(VLOOKUP(C859,Lists!$C:$D,2,FALSE),""))</f>
        <v/>
      </c>
      <c r="E859" s="6" t="n"/>
      <c r="F859" s="6" t="n"/>
      <c r="G859" s="7">
        <f>IF(A859="","",A859+(7-WEEKDAY(A859,2)))</f>
        <v/>
      </c>
      <c r="H859" s="6">
        <f>IF(OR(A859="",B859=""),"",SUMIFS($E$2:$E$1001,$A$2:$A$1001,A859,$B$2:$B$1001,B859))</f>
        <v/>
      </c>
    </row>
    <row r="860">
      <c r="A860" s="7" t="n"/>
      <c r="B860" s="6" t="n"/>
      <c r="C860" s="6" t="n"/>
      <c r="D860" s="6">
        <f>IF(C860="","",IFERROR(VLOOKUP(C860,Lists!$C:$D,2,FALSE),""))</f>
        <v/>
      </c>
      <c r="E860" s="6" t="n"/>
      <c r="F860" s="6" t="n"/>
      <c r="G860" s="7">
        <f>IF(A860="","",A860+(7-WEEKDAY(A860,2)))</f>
        <v/>
      </c>
      <c r="H860" s="6">
        <f>IF(OR(A860="",B860=""),"",SUMIFS($E$2:$E$1001,$A$2:$A$1001,A860,$B$2:$B$1001,B860))</f>
        <v/>
      </c>
    </row>
    <row r="861">
      <c r="A861" s="7" t="n"/>
      <c r="B861" s="6" t="n"/>
      <c r="C861" s="6" t="n"/>
      <c r="D861" s="6">
        <f>IF(C861="","",IFERROR(VLOOKUP(C861,Lists!$C:$D,2,FALSE),""))</f>
        <v/>
      </c>
      <c r="E861" s="6" t="n"/>
      <c r="F861" s="6" t="n"/>
      <c r="G861" s="7">
        <f>IF(A861="","",A861+(7-WEEKDAY(A861,2)))</f>
        <v/>
      </c>
      <c r="H861" s="6">
        <f>IF(OR(A861="",B861=""),"",SUMIFS($E$2:$E$1001,$A$2:$A$1001,A861,$B$2:$B$1001,B861))</f>
        <v/>
      </c>
    </row>
    <row r="862">
      <c r="A862" s="7" t="n"/>
      <c r="B862" s="6" t="n"/>
      <c r="C862" s="6" t="n"/>
      <c r="D862" s="6">
        <f>IF(C862="","",IFERROR(VLOOKUP(C862,Lists!$C:$D,2,FALSE),""))</f>
        <v/>
      </c>
      <c r="E862" s="6" t="n"/>
      <c r="F862" s="6" t="n"/>
      <c r="G862" s="7">
        <f>IF(A862="","",A862+(7-WEEKDAY(A862,2)))</f>
        <v/>
      </c>
      <c r="H862" s="6">
        <f>IF(OR(A862="",B862=""),"",SUMIFS($E$2:$E$1001,$A$2:$A$1001,A862,$B$2:$B$1001,B862))</f>
        <v/>
      </c>
    </row>
    <row r="863">
      <c r="A863" s="7" t="n"/>
      <c r="B863" s="6" t="n"/>
      <c r="C863" s="6" t="n"/>
      <c r="D863" s="6">
        <f>IF(C863="","",IFERROR(VLOOKUP(C863,Lists!$C:$D,2,FALSE),""))</f>
        <v/>
      </c>
      <c r="E863" s="6" t="n"/>
      <c r="F863" s="6" t="n"/>
      <c r="G863" s="7">
        <f>IF(A863="","",A863+(7-WEEKDAY(A863,2)))</f>
        <v/>
      </c>
      <c r="H863" s="6">
        <f>IF(OR(A863="",B863=""),"",SUMIFS($E$2:$E$1001,$A$2:$A$1001,A863,$B$2:$B$1001,B863))</f>
        <v/>
      </c>
    </row>
    <row r="864">
      <c r="A864" s="7" t="n"/>
      <c r="B864" s="6" t="n"/>
      <c r="C864" s="6" t="n"/>
      <c r="D864" s="6">
        <f>IF(C864="","",IFERROR(VLOOKUP(C864,Lists!$C:$D,2,FALSE),""))</f>
        <v/>
      </c>
      <c r="E864" s="6" t="n"/>
      <c r="F864" s="6" t="n"/>
      <c r="G864" s="7">
        <f>IF(A864="","",A864+(7-WEEKDAY(A864,2)))</f>
        <v/>
      </c>
      <c r="H864" s="6">
        <f>IF(OR(A864="",B864=""),"",SUMIFS($E$2:$E$1001,$A$2:$A$1001,A864,$B$2:$B$1001,B864))</f>
        <v/>
      </c>
    </row>
    <row r="865">
      <c r="A865" s="7" t="n"/>
      <c r="B865" s="6" t="n"/>
      <c r="C865" s="6" t="n"/>
      <c r="D865" s="6">
        <f>IF(C865="","",IFERROR(VLOOKUP(C865,Lists!$C:$D,2,FALSE),""))</f>
        <v/>
      </c>
      <c r="E865" s="6" t="n"/>
      <c r="F865" s="6" t="n"/>
      <c r="G865" s="7">
        <f>IF(A865="","",A865+(7-WEEKDAY(A865,2)))</f>
        <v/>
      </c>
      <c r="H865" s="6">
        <f>IF(OR(A865="",B865=""),"",SUMIFS($E$2:$E$1001,$A$2:$A$1001,A865,$B$2:$B$1001,B865))</f>
        <v/>
      </c>
    </row>
    <row r="866">
      <c r="A866" s="7" t="n"/>
      <c r="B866" s="6" t="n"/>
      <c r="C866" s="6" t="n"/>
      <c r="D866" s="6">
        <f>IF(C866="","",IFERROR(VLOOKUP(C866,Lists!$C:$D,2,FALSE),""))</f>
        <v/>
      </c>
      <c r="E866" s="6" t="n"/>
      <c r="F866" s="6" t="n"/>
      <c r="G866" s="7">
        <f>IF(A866="","",A866+(7-WEEKDAY(A866,2)))</f>
        <v/>
      </c>
      <c r="H866" s="6">
        <f>IF(OR(A866="",B866=""),"",SUMIFS($E$2:$E$1001,$A$2:$A$1001,A866,$B$2:$B$1001,B866))</f>
        <v/>
      </c>
    </row>
    <row r="867">
      <c r="A867" s="7" t="n"/>
      <c r="B867" s="6" t="n"/>
      <c r="C867" s="6" t="n"/>
      <c r="D867" s="6">
        <f>IF(C867="","",IFERROR(VLOOKUP(C867,Lists!$C:$D,2,FALSE),""))</f>
        <v/>
      </c>
      <c r="E867" s="6" t="n"/>
      <c r="F867" s="6" t="n"/>
      <c r="G867" s="7">
        <f>IF(A867="","",A867+(7-WEEKDAY(A867,2)))</f>
        <v/>
      </c>
      <c r="H867" s="6">
        <f>IF(OR(A867="",B867=""),"",SUMIFS($E$2:$E$1001,$A$2:$A$1001,A867,$B$2:$B$1001,B867))</f>
        <v/>
      </c>
    </row>
    <row r="868">
      <c r="A868" s="7" t="n"/>
      <c r="B868" s="6" t="n"/>
      <c r="C868" s="6" t="n"/>
      <c r="D868" s="6">
        <f>IF(C868="","",IFERROR(VLOOKUP(C868,Lists!$C:$D,2,FALSE),""))</f>
        <v/>
      </c>
      <c r="E868" s="6" t="n"/>
      <c r="F868" s="6" t="n"/>
      <c r="G868" s="7">
        <f>IF(A868="","",A868+(7-WEEKDAY(A868,2)))</f>
        <v/>
      </c>
      <c r="H868" s="6">
        <f>IF(OR(A868="",B868=""),"",SUMIFS($E$2:$E$1001,$A$2:$A$1001,A868,$B$2:$B$1001,B868))</f>
        <v/>
      </c>
    </row>
    <row r="869">
      <c r="A869" s="7" t="n"/>
      <c r="B869" s="6" t="n"/>
      <c r="C869" s="6" t="n"/>
      <c r="D869" s="6">
        <f>IF(C869="","",IFERROR(VLOOKUP(C869,Lists!$C:$D,2,FALSE),""))</f>
        <v/>
      </c>
      <c r="E869" s="6" t="n"/>
      <c r="F869" s="6" t="n"/>
      <c r="G869" s="7">
        <f>IF(A869="","",A869+(7-WEEKDAY(A869,2)))</f>
        <v/>
      </c>
      <c r="H869" s="6">
        <f>IF(OR(A869="",B869=""),"",SUMIFS($E$2:$E$1001,$A$2:$A$1001,A869,$B$2:$B$1001,B869))</f>
        <v/>
      </c>
    </row>
    <row r="870">
      <c r="A870" s="7" t="n"/>
      <c r="B870" s="6" t="n"/>
      <c r="C870" s="6" t="n"/>
      <c r="D870" s="6">
        <f>IF(C870="","",IFERROR(VLOOKUP(C870,Lists!$C:$D,2,FALSE),""))</f>
        <v/>
      </c>
      <c r="E870" s="6" t="n"/>
      <c r="F870" s="6" t="n"/>
      <c r="G870" s="7">
        <f>IF(A870="","",A870+(7-WEEKDAY(A870,2)))</f>
        <v/>
      </c>
      <c r="H870" s="6">
        <f>IF(OR(A870="",B870=""),"",SUMIFS($E$2:$E$1001,$A$2:$A$1001,A870,$B$2:$B$1001,B870))</f>
        <v/>
      </c>
    </row>
    <row r="871">
      <c r="A871" s="7" t="n"/>
      <c r="B871" s="6" t="n"/>
      <c r="C871" s="6" t="n"/>
      <c r="D871" s="6">
        <f>IF(C871="","",IFERROR(VLOOKUP(C871,Lists!$C:$D,2,FALSE),""))</f>
        <v/>
      </c>
      <c r="E871" s="6" t="n"/>
      <c r="F871" s="6" t="n"/>
      <c r="G871" s="7">
        <f>IF(A871="","",A871+(7-WEEKDAY(A871,2)))</f>
        <v/>
      </c>
      <c r="H871" s="6">
        <f>IF(OR(A871="",B871=""),"",SUMIFS($E$2:$E$1001,$A$2:$A$1001,A871,$B$2:$B$1001,B871))</f>
        <v/>
      </c>
    </row>
    <row r="872">
      <c r="A872" s="7" t="n"/>
      <c r="B872" s="6" t="n"/>
      <c r="C872" s="6" t="n"/>
      <c r="D872" s="6">
        <f>IF(C872="","",IFERROR(VLOOKUP(C872,Lists!$C:$D,2,FALSE),""))</f>
        <v/>
      </c>
      <c r="E872" s="6" t="n"/>
      <c r="F872" s="6" t="n"/>
      <c r="G872" s="7">
        <f>IF(A872="","",A872+(7-WEEKDAY(A872,2)))</f>
        <v/>
      </c>
      <c r="H872" s="6">
        <f>IF(OR(A872="",B872=""),"",SUMIFS($E$2:$E$1001,$A$2:$A$1001,A872,$B$2:$B$1001,B872))</f>
        <v/>
      </c>
    </row>
    <row r="873">
      <c r="A873" s="7" t="n"/>
      <c r="B873" s="6" t="n"/>
      <c r="C873" s="6" t="n"/>
      <c r="D873" s="6">
        <f>IF(C873="","",IFERROR(VLOOKUP(C873,Lists!$C:$D,2,FALSE),""))</f>
        <v/>
      </c>
      <c r="E873" s="6" t="n"/>
      <c r="F873" s="6" t="n"/>
      <c r="G873" s="7">
        <f>IF(A873="","",A873+(7-WEEKDAY(A873,2)))</f>
        <v/>
      </c>
      <c r="H873" s="6">
        <f>IF(OR(A873="",B873=""),"",SUMIFS($E$2:$E$1001,$A$2:$A$1001,A873,$B$2:$B$1001,B873))</f>
        <v/>
      </c>
    </row>
    <row r="874">
      <c r="A874" s="7" t="n"/>
      <c r="B874" s="6" t="n"/>
      <c r="C874" s="6" t="n"/>
      <c r="D874" s="6">
        <f>IF(C874="","",IFERROR(VLOOKUP(C874,Lists!$C:$D,2,FALSE),""))</f>
        <v/>
      </c>
      <c r="E874" s="6" t="n"/>
      <c r="F874" s="6" t="n"/>
      <c r="G874" s="7">
        <f>IF(A874="","",A874+(7-WEEKDAY(A874,2)))</f>
        <v/>
      </c>
      <c r="H874" s="6">
        <f>IF(OR(A874="",B874=""),"",SUMIFS($E$2:$E$1001,$A$2:$A$1001,A874,$B$2:$B$1001,B874))</f>
        <v/>
      </c>
    </row>
    <row r="875">
      <c r="A875" s="7" t="n"/>
      <c r="B875" s="6" t="n"/>
      <c r="C875" s="6" t="n"/>
      <c r="D875" s="6">
        <f>IF(C875="","",IFERROR(VLOOKUP(C875,Lists!$C:$D,2,FALSE),""))</f>
        <v/>
      </c>
      <c r="E875" s="6" t="n"/>
      <c r="F875" s="6" t="n"/>
      <c r="G875" s="7">
        <f>IF(A875="","",A875+(7-WEEKDAY(A875,2)))</f>
        <v/>
      </c>
      <c r="H875" s="6">
        <f>IF(OR(A875="",B875=""),"",SUMIFS($E$2:$E$1001,$A$2:$A$1001,A875,$B$2:$B$1001,B875))</f>
        <v/>
      </c>
    </row>
    <row r="876">
      <c r="A876" s="7" t="n"/>
      <c r="B876" s="6" t="n"/>
      <c r="C876" s="6" t="n"/>
      <c r="D876" s="6">
        <f>IF(C876="","",IFERROR(VLOOKUP(C876,Lists!$C:$D,2,FALSE),""))</f>
        <v/>
      </c>
      <c r="E876" s="6" t="n"/>
      <c r="F876" s="6" t="n"/>
      <c r="G876" s="7">
        <f>IF(A876="","",A876+(7-WEEKDAY(A876,2)))</f>
        <v/>
      </c>
      <c r="H876" s="6">
        <f>IF(OR(A876="",B876=""),"",SUMIFS($E$2:$E$1001,$A$2:$A$1001,A876,$B$2:$B$1001,B876))</f>
        <v/>
      </c>
    </row>
    <row r="877">
      <c r="A877" s="7" t="n"/>
      <c r="B877" s="6" t="n"/>
      <c r="C877" s="6" t="n"/>
      <c r="D877" s="6">
        <f>IF(C877="","",IFERROR(VLOOKUP(C877,Lists!$C:$D,2,FALSE),""))</f>
        <v/>
      </c>
      <c r="E877" s="6" t="n"/>
      <c r="F877" s="6" t="n"/>
      <c r="G877" s="7">
        <f>IF(A877="","",A877+(7-WEEKDAY(A877,2)))</f>
        <v/>
      </c>
      <c r="H877" s="6">
        <f>IF(OR(A877="",B877=""),"",SUMIFS($E$2:$E$1001,$A$2:$A$1001,A877,$B$2:$B$1001,B877))</f>
        <v/>
      </c>
    </row>
    <row r="878">
      <c r="A878" s="7" t="n"/>
      <c r="B878" s="6" t="n"/>
      <c r="C878" s="6" t="n"/>
      <c r="D878" s="6">
        <f>IF(C878="","",IFERROR(VLOOKUP(C878,Lists!$C:$D,2,FALSE),""))</f>
        <v/>
      </c>
      <c r="E878" s="6" t="n"/>
      <c r="F878" s="6" t="n"/>
      <c r="G878" s="7">
        <f>IF(A878="","",A878+(7-WEEKDAY(A878,2)))</f>
        <v/>
      </c>
      <c r="H878" s="6">
        <f>IF(OR(A878="",B878=""),"",SUMIFS($E$2:$E$1001,$A$2:$A$1001,A878,$B$2:$B$1001,B878))</f>
        <v/>
      </c>
    </row>
    <row r="879">
      <c r="A879" s="7" t="n"/>
      <c r="B879" s="6" t="n"/>
      <c r="C879" s="6" t="n"/>
      <c r="D879" s="6">
        <f>IF(C879="","",IFERROR(VLOOKUP(C879,Lists!$C:$D,2,FALSE),""))</f>
        <v/>
      </c>
      <c r="E879" s="6" t="n"/>
      <c r="F879" s="6" t="n"/>
      <c r="G879" s="7">
        <f>IF(A879="","",A879+(7-WEEKDAY(A879,2)))</f>
        <v/>
      </c>
      <c r="H879" s="6">
        <f>IF(OR(A879="",B879=""),"",SUMIFS($E$2:$E$1001,$A$2:$A$1001,A879,$B$2:$B$1001,B879))</f>
        <v/>
      </c>
    </row>
    <row r="880">
      <c r="A880" s="7" t="n"/>
      <c r="B880" s="6" t="n"/>
      <c r="C880" s="6" t="n"/>
      <c r="D880" s="6">
        <f>IF(C880="","",IFERROR(VLOOKUP(C880,Lists!$C:$D,2,FALSE),""))</f>
        <v/>
      </c>
      <c r="E880" s="6" t="n"/>
      <c r="F880" s="6" t="n"/>
      <c r="G880" s="7">
        <f>IF(A880="","",A880+(7-WEEKDAY(A880,2)))</f>
        <v/>
      </c>
      <c r="H880" s="6">
        <f>IF(OR(A880="",B880=""),"",SUMIFS($E$2:$E$1001,$A$2:$A$1001,A880,$B$2:$B$1001,B880))</f>
        <v/>
      </c>
    </row>
    <row r="881">
      <c r="A881" s="7" t="n"/>
      <c r="B881" s="6" t="n"/>
      <c r="C881" s="6" t="n"/>
      <c r="D881" s="6">
        <f>IF(C881="","",IFERROR(VLOOKUP(C881,Lists!$C:$D,2,FALSE),""))</f>
        <v/>
      </c>
      <c r="E881" s="6" t="n"/>
      <c r="F881" s="6" t="n"/>
      <c r="G881" s="7">
        <f>IF(A881="","",A881+(7-WEEKDAY(A881,2)))</f>
        <v/>
      </c>
      <c r="H881" s="6">
        <f>IF(OR(A881="",B881=""),"",SUMIFS($E$2:$E$1001,$A$2:$A$1001,A881,$B$2:$B$1001,B881))</f>
        <v/>
      </c>
    </row>
    <row r="882">
      <c r="A882" s="7" t="n"/>
      <c r="B882" s="6" t="n"/>
      <c r="C882" s="6" t="n"/>
      <c r="D882" s="6">
        <f>IF(C882="","",IFERROR(VLOOKUP(C882,Lists!$C:$D,2,FALSE),""))</f>
        <v/>
      </c>
      <c r="E882" s="6" t="n"/>
      <c r="F882" s="6" t="n"/>
      <c r="G882" s="7">
        <f>IF(A882="","",A882+(7-WEEKDAY(A882,2)))</f>
        <v/>
      </c>
      <c r="H882" s="6">
        <f>IF(OR(A882="",B882=""),"",SUMIFS($E$2:$E$1001,$A$2:$A$1001,A882,$B$2:$B$1001,B882))</f>
        <v/>
      </c>
    </row>
    <row r="883">
      <c r="A883" s="7" t="n"/>
      <c r="B883" s="6" t="n"/>
      <c r="C883" s="6" t="n"/>
      <c r="D883" s="6">
        <f>IF(C883="","",IFERROR(VLOOKUP(C883,Lists!$C:$D,2,FALSE),""))</f>
        <v/>
      </c>
      <c r="E883" s="6" t="n"/>
      <c r="F883" s="6" t="n"/>
      <c r="G883" s="7">
        <f>IF(A883="","",A883+(7-WEEKDAY(A883,2)))</f>
        <v/>
      </c>
      <c r="H883" s="6">
        <f>IF(OR(A883="",B883=""),"",SUMIFS($E$2:$E$1001,$A$2:$A$1001,A883,$B$2:$B$1001,B883))</f>
        <v/>
      </c>
    </row>
    <row r="884">
      <c r="A884" s="7" t="n"/>
      <c r="B884" s="6" t="n"/>
      <c r="C884" s="6" t="n"/>
      <c r="D884" s="6">
        <f>IF(C884="","",IFERROR(VLOOKUP(C884,Lists!$C:$D,2,FALSE),""))</f>
        <v/>
      </c>
      <c r="E884" s="6" t="n"/>
      <c r="F884" s="6" t="n"/>
      <c r="G884" s="7">
        <f>IF(A884="","",A884+(7-WEEKDAY(A884,2)))</f>
        <v/>
      </c>
      <c r="H884" s="6">
        <f>IF(OR(A884="",B884=""),"",SUMIFS($E$2:$E$1001,$A$2:$A$1001,A884,$B$2:$B$1001,B884))</f>
        <v/>
      </c>
    </row>
    <row r="885">
      <c r="A885" s="7" t="n"/>
      <c r="B885" s="6" t="n"/>
      <c r="C885" s="6" t="n"/>
      <c r="D885" s="6">
        <f>IF(C885="","",IFERROR(VLOOKUP(C885,Lists!$C:$D,2,FALSE),""))</f>
        <v/>
      </c>
      <c r="E885" s="6" t="n"/>
      <c r="F885" s="6" t="n"/>
      <c r="G885" s="7">
        <f>IF(A885="","",A885+(7-WEEKDAY(A885,2)))</f>
        <v/>
      </c>
      <c r="H885" s="6">
        <f>IF(OR(A885="",B885=""),"",SUMIFS($E$2:$E$1001,$A$2:$A$1001,A885,$B$2:$B$1001,B885))</f>
        <v/>
      </c>
    </row>
    <row r="886">
      <c r="A886" s="7" t="n"/>
      <c r="B886" s="6" t="n"/>
      <c r="C886" s="6" t="n"/>
      <c r="D886" s="6">
        <f>IF(C886="","",IFERROR(VLOOKUP(C886,Lists!$C:$D,2,FALSE),""))</f>
        <v/>
      </c>
      <c r="E886" s="6" t="n"/>
      <c r="F886" s="6" t="n"/>
      <c r="G886" s="7">
        <f>IF(A886="","",A886+(7-WEEKDAY(A886,2)))</f>
        <v/>
      </c>
      <c r="H886" s="6">
        <f>IF(OR(A886="",B886=""),"",SUMIFS($E$2:$E$1001,$A$2:$A$1001,A886,$B$2:$B$1001,B886))</f>
        <v/>
      </c>
    </row>
    <row r="887">
      <c r="A887" s="7" t="n"/>
      <c r="B887" s="6" t="n"/>
      <c r="C887" s="6" t="n"/>
      <c r="D887" s="6">
        <f>IF(C887="","",IFERROR(VLOOKUP(C887,Lists!$C:$D,2,FALSE),""))</f>
        <v/>
      </c>
      <c r="E887" s="6" t="n"/>
      <c r="F887" s="6" t="n"/>
      <c r="G887" s="7">
        <f>IF(A887="","",A887+(7-WEEKDAY(A887,2)))</f>
        <v/>
      </c>
      <c r="H887" s="6">
        <f>IF(OR(A887="",B887=""),"",SUMIFS($E$2:$E$1001,$A$2:$A$1001,A887,$B$2:$B$1001,B887))</f>
        <v/>
      </c>
    </row>
    <row r="888">
      <c r="A888" s="7" t="n"/>
      <c r="B888" s="6" t="n"/>
      <c r="C888" s="6" t="n"/>
      <c r="D888" s="6">
        <f>IF(C888="","",IFERROR(VLOOKUP(C888,Lists!$C:$D,2,FALSE),""))</f>
        <v/>
      </c>
      <c r="E888" s="6" t="n"/>
      <c r="F888" s="6" t="n"/>
      <c r="G888" s="7">
        <f>IF(A888="","",A888+(7-WEEKDAY(A888,2)))</f>
        <v/>
      </c>
      <c r="H888" s="6">
        <f>IF(OR(A888="",B888=""),"",SUMIFS($E$2:$E$1001,$A$2:$A$1001,A888,$B$2:$B$1001,B888))</f>
        <v/>
      </c>
    </row>
    <row r="889">
      <c r="A889" s="7" t="n"/>
      <c r="B889" s="6" t="n"/>
      <c r="C889" s="6" t="n"/>
      <c r="D889" s="6">
        <f>IF(C889="","",IFERROR(VLOOKUP(C889,Lists!$C:$D,2,FALSE),""))</f>
        <v/>
      </c>
      <c r="E889" s="6" t="n"/>
      <c r="F889" s="6" t="n"/>
      <c r="G889" s="7">
        <f>IF(A889="","",A889+(7-WEEKDAY(A889,2)))</f>
        <v/>
      </c>
      <c r="H889" s="6">
        <f>IF(OR(A889="",B889=""),"",SUMIFS($E$2:$E$1001,$A$2:$A$1001,A889,$B$2:$B$1001,B889))</f>
        <v/>
      </c>
    </row>
    <row r="890">
      <c r="A890" s="7" t="n"/>
      <c r="B890" s="6" t="n"/>
      <c r="C890" s="6" t="n"/>
      <c r="D890" s="6">
        <f>IF(C890="","",IFERROR(VLOOKUP(C890,Lists!$C:$D,2,FALSE),""))</f>
        <v/>
      </c>
      <c r="E890" s="6" t="n"/>
      <c r="F890" s="6" t="n"/>
      <c r="G890" s="7">
        <f>IF(A890="","",A890+(7-WEEKDAY(A890,2)))</f>
        <v/>
      </c>
      <c r="H890" s="6">
        <f>IF(OR(A890="",B890=""),"",SUMIFS($E$2:$E$1001,$A$2:$A$1001,A890,$B$2:$B$1001,B890))</f>
        <v/>
      </c>
    </row>
    <row r="891">
      <c r="A891" s="7" t="n"/>
      <c r="B891" s="6" t="n"/>
      <c r="C891" s="6" t="n"/>
      <c r="D891" s="6">
        <f>IF(C891="","",IFERROR(VLOOKUP(C891,Lists!$C:$D,2,FALSE),""))</f>
        <v/>
      </c>
      <c r="E891" s="6" t="n"/>
      <c r="F891" s="6" t="n"/>
      <c r="G891" s="7">
        <f>IF(A891="","",A891+(7-WEEKDAY(A891,2)))</f>
        <v/>
      </c>
      <c r="H891" s="6">
        <f>IF(OR(A891="",B891=""),"",SUMIFS($E$2:$E$1001,$A$2:$A$1001,A891,$B$2:$B$1001,B891))</f>
        <v/>
      </c>
    </row>
    <row r="892">
      <c r="A892" s="7" t="n"/>
      <c r="B892" s="6" t="n"/>
      <c r="C892" s="6" t="n"/>
      <c r="D892" s="6">
        <f>IF(C892="","",IFERROR(VLOOKUP(C892,Lists!$C:$D,2,FALSE),""))</f>
        <v/>
      </c>
      <c r="E892" s="6" t="n"/>
      <c r="F892" s="6" t="n"/>
      <c r="G892" s="7">
        <f>IF(A892="","",A892+(7-WEEKDAY(A892,2)))</f>
        <v/>
      </c>
      <c r="H892" s="6">
        <f>IF(OR(A892="",B892=""),"",SUMIFS($E$2:$E$1001,$A$2:$A$1001,A892,$B$2:$B$1001,B892))</f>
        <v/>
      </c>
    </row>
    <row r="893">
      <c r="A893" s="7" t="n"/>
      <c r="B893" s="6" t="n"/>
      <c r="C893" s="6" t="n"/>
      <c r="D893" s="6">
        <f>IF(C893="","",IFERROR(VLOOKUP(C893,Lists!$C:$D,2,FALSE),""))</f>
        <v/>
      </c>
      <c r="E893" s="6" t="n"/>
      <c r="F893" s="6" t="n"/>
      <c r="G893" s="7">
        <f>IF(A893="","",A893+(7-WEEKDAY(A893,2)))</f>
        <v/>
      </c>
      <c r="H893" s="6">
        <f>IF(OR(A893="",B893=""),"",SUMIFS($E$2:$E$1001,$A$2:$A$1001,A893,$B$2:$B$1001,B893))</f>
        <v/>
      </c>
    </row>
    <row r="894">
      <c r="A894" s="7" t="n"/>
      <c r="B894" s="6" t="n"/>
      <c r="C894" s="6" t="n"/>
      <c r="D894" s="6">
        <f>IF(C894="","",IFERROR(VLOOKUP(C894,Lists!$C:$D,2,FALSE),""))</f>
        <v/>
      </c>
      <c r="E894" s="6" t="n"/>
      <c r="F894" s="6" t="n"/>
      <c r="G894" s="7">
        <f>IF(A894="","",A894+(7-WEEKDAY(A894,2)))</f>
        <v/>
      </c>
      <c r="H894" s="6">
        <f>IF(OR(A894="",B894=""),"",SUMIFS($E$2:$E$1001,$A$2:$A$1001,A894,$B$2:$B$1001,B894))</f>
        <v/>
      </c>
    </row>
    <row r="895">
      <c r="A895" s="7" t="n"/>
      <c r="B895" s="6" t="n"/>
      <c r="C895" s="6" t="n"/>
      <c r="D895" s="6">
        <f>IF(C895="","",IFERROR(VLOOKUP(C895,Lists!$C:$D,2,FALSE),""))</f>
        <v/>
      </c>
      <c r="E895" s="6" t="n"/>
      <c r="F895" s="6" t="n"/>
      <c r="G895" s="7">
        <f>IF(A895="","",A895+(7-WEEKDAY(A895,2)))</f>
        <v/>
      </c>
      <c r="H895" s="6">
        <f>IF(OR(A895="",B895=""),"",SUMIFS($E$2:$E$1001,$A$2:$A$1001,A895,$B$2:$B$1001,B895))</f>
        <v/>
      </c>
    </row>
    <row r="896">
      <c r="A896" s="7" t="n"/>
      <c r="B896" s="6" t="n"/>
      <c r="C896" s="6" t="n"/>
      <c r="D896" s="6">
        <f>IF(C896="","",IFERROR(VLOOKUP(C896,Lists!$C:$D,2,FALSE),""))</f>
        <v/>
      </c>
      <c r="E896" s="6" t="n"/>
      <c r="F896" s="6" t="n"/>
      <c r="G896" s="7">
        <f>IF(A896="","",A896+(7-WEEKDAY(A896,2)))</f>
        <v/>
      </c>
      <c r="H896" s="6">
        <f>IF(OR(A896="",B896=""),"",SUMIFS($E$2:$E$1001,$A$2:$A$1001,A896,$B$2:$B$1001,B896))</f>
        <v/>
      </c>
    </row>
    <row r="897">
      <c r="A897" s="7" t="n"/>
      <c r="B897" s="6" t="n"/>
      <c r="C897" s="6" t="n"/>
      <c r="D897" s="6">
        <f>IF(C897="","",IFERROR(VLOOKUP(C897,Lists!$C:$D,2,FALSE),""))</f>
        <v/>
      </c>
      <c r="E897" s="6" t="n"/>
      <c r="F897" s="6" t="n"/>
      <c r="G897" s="7">
        <f>IF(A897="","",A897+(7-WEEKDAY(A897,2)))</f>
        <v/>
      </c>
      <c r="H897" s="6">
        <f>IF(OR(A897="",B897=""),"",SUMIFS($E$2:$E$1001,$A$2:$A$1001,A897,$B$2:$B$1001,B897))</f>
        <v/>
      </c>
    </row>
    <row r="898">
      <c r="A898" s="7" t="n"/>
      <c r="B898" s="6" t="n"/>
      <c r="C898" s="6" t="n"/>
      <c r="D898" s="6">
        <f>IF(C898="","",IFERROR(VLOOKUP(C898,Lists!$C:$D,2,FALSE),""))</f>
        <v/>
      </c>
      <c r="E898" s="6" t="n"/>
      <c r="F898" s="6" t="n"/>
      <c r="G898" s="7">
        <f>IF(A898="","",A898+(7-WEEKDAY(A898,2)))</f>
        <v/>
      </c>
      <c r="H898" s="6">
        <f>IF(OR(A898="",B898=""),"",SUMIFS($E$2:$E$1001,$A$2:$A$1001,A898,$B$2:$B$1001,B898))</f>
        <v/>
      </c>
    </row>
    <row r="899">
      <c r="A899" s="7" t="n"/>
      <c r="B899" s="6" t="n"/>
      <c r="C899" s="6" t="n"/>
      <c r="D899" s="6">
        <f>IF(C899="","",IFERROR(VLOOKUP(C899,Lists!$C:$D,2,FALSE),""))</f>
        <v/>
      </c>
      <c r="E899" s="6" t="n"/>
      <c r="F899" s="6" t="n"/>
      <c r="G899" s="7">
        <f>IF(A899="","",A899+(7-WEEKDAY(A899,2)))</f>
        <v/>
      </c>
      <c r="H899" s="6">
        <f>IF(OR(A899="",B899=""),"",SUMIFS($E$2:$E$1001,$A$2:$A$1001,A899,$B$2:$B$1001,B899))</f>
        <v/>
      </c>
    </row>
    <row r="900">
      <c r="A900" s="7" t="n"/>
      <c r="B900" s="6" t="n"/>
      <c r="C900" s="6" t="n"/>
      <c r="D900" s="6">
        <f>IF(C900="","",IFERROR(VLOOKUP(C900,Lists!$C:$D,2,FALSE),""))</f>
        <v/>
      </c>
      <c r="E900" s="6" t="n"/>
      <c r="F900" s="6" t="n"/>
      <c r="G900" s="7">
        <f>IF(A900="","",A900+(7-WEEKDAY(A900,2)))</f>
        <v/>
      </c>
      <c r="H900" s="6">
        <f>IF(OR(A900="",B900=""),"",SUMIFS($E$2:$E$1001,$A$2:$A$1001,A900,$B$2:$B$1001,B900))</f>
        <v/>
      </c>
    </row>
    <row r="901">
      <c r="A901" s="7" t="n"/>
      <c r="B901" s="6" t="n"/>
      <c r="C901" s="6" t="n"/>
      <c r="D901" s="6">
        <f>IF(C901="","",IFERROR(VLOOKUP(C901,Lists!$C:$D,2,FALSE),""))</f>
        <v/>
      </c>
      <c r="E901" s="6" t="n"/>
      <c r="F901" s="6" t="n"/>
      <c r="G901" s="7">
        <f>IF(A901="","",A901+(7-WEEKDAY(A901,2)))</f>
        <v/>
      </c>
      <c r="H901" s="6">
        <f>IF(OR(A901="",B901=""),"",SUMIFS($E$2:$E$1001,$A$2:$A$1001,A901,$B$2:$B$1001,B901))</f>
        <v/>
      </c>
    </row>
    <row r="902">
      <c r="A902" s="7" t="n"/>
      <c r="B902" s="6" t="n"/>
      <c r="C902" s="6" t="n"/>
      <c r="D902" s="6">
        <f>IF(C902="","",IFERROR(VLOOKUP(C902,Lists!$C:$D,2,FALSE),""))</f>
        <v/>
      </c>
      <c r="E902" s="6" t="n"/>
      <c r="F902" s="6" t="n"/>
      <c r="G902" s="7">
        <f>IF(A902="","",A902+(7-WEEKDAY(A902,2)))</f>
        <v/>
      </c>
      <c r="H902" s="6">
        <f>IF(OR(A902="",B902=""),"",SUMIFS($E$2:$E$1001,$A$2:$A$1001,A902,$B$2:$B$1001,B902))</f>
        <v/>
      </c>
    </row>
    <row r="903">
      <c r="A903" s="7" t="n"/>
      <c r="B903" s="6" t="n"/>
      <c r="C903" s="6" t="n"/>
      <c r="D903" s="6">
        <f>IF(C903="","",IFERROR(VLOOKUP(C903,Lists!$C:$D,2,FALSE),""))</f>
        <v/>
      </c>
      <c r="E903" s="6" t="n"/>
      <c r="F903" s="6" t="n"/>
      <c r="G903" s="7">
        <f>IF(A903="","",A903+(7-WEEKDAY(A903,2)))</f>
        <v/>
      </c>
      <c r="H903" s="6">
        <f>IF(OR(A903="",B903=""),"",SUMIFS($E$2:$E$1001,$A$2:$A$1001,A903,$B$2:$B$1001,B903))</f>
        <v/>
      </c>
    </row>
    <row r="904">
      <c r="A904" s="7" t="n"/>
      <c r="B904" s="6" t="n"/>
      <c r="C904" s="6" t="n"/>
      <c r="D904" s="6">
        <f>IF(C904="","",IFERROR(VLOOKUP(C904,Lists!$C:$D,2,FALSE),""))</f>
        <v/>
      </c>
      <c r="E904" s="6" t="n"/>
      <c r="F904" s="6" t="n"/>
      <c r="G904" s="7">
        <f>IF(A904="","",A904+(7-WEEKDAY(A904,2)))</f>
        <v/>
      </c>
      <c r="H904" s="6">
        <f>IF(OR(A904="",B904=""),"",SUMIFS($E$2:$E$1001,$A$2:$A$1001,A904,$B$2:$B$1001,B904))</f>
        <v/>
      </c>
    </row>
    <row r="905">
      <c r="A905" s="7" t="n"/>
      <c r="B905" s="6" t="n"/>
      <c r="C905" s="6" t="n"/>
      <c r="D905" s="6">
        <f>IF(C905="","",IFERROR(VLOOKUP(C905,Lists!$C:$D,2,FALSE),""))</f>
        <v/>
      </c>
      <c r="E905" s="6" t="n"/>
      <c r="F905" s="6" t="n"/>
      <c r="G905" s="7">
        <f>IF(A905="","",A905+(7-WEEKDAY(A905,2)))</f>
        <v/>
      </c>
      <c r="H905" s="6">
        <f>IF(OR(A905="",B905=""),"",SUMIFS($E$2:$E$1001,$A$2:$A$1001,A905,$B$2:$B$1001,B905))</f>
        <v/>
      </c>
    </row>
    <row r="906">
      <c r="A906" s="7" t="n"/>
      <c r="B906" s="6" t="n"/>
      <c r="C906" s="6" t="n"/>
      <c r="D906" s="6">
        <f>IF(C906="","",IFERROR(VLOOKUP(C906,Lists!$C:$D,2,FALSE),""))</f>
        <v/>
      </c>
      <c r="E906" s="6" t="n"/>
      <c r="F906" s="6" t="n"/>
      <c r="G906" s="7">
        <f>IF(A906="","",A906+(7-WEEKDAY(A906,2)))</f>
        <v/>
      </c>
      <c r="H906" s="6">
        <f>IF(OR(A906="",B906=""),"",SUMIFS($E$2:$E$1001,$A$2:$A$1001,A906,$B$2:$B$1001,B906))</f>
        <v/>
      </c>
    </row>
    <row r="907">
      <c r="A907" s="7" t="n"/>
      <c r="B907" s="6" t="n"/>
      <c r="C907" s="6" t="n"/>
      <c r="D907" s="6">
        <f>IF(C907="","",IFERROR(VLOOKUP(C907,Lists!$C:$D,2,FALSE),""))</f>
        <v/>
      </c>
      <c r="E907" s="6" t="n"/>
      <c r="F907" s="6" t="n"/>
      <c r="G907" s="7">
        <f>IF(A907="","",A907+(7-WEEKDAY(A907,2)))</f>
        <v/>
      </c>
      <c r="H907" s="6">
        <f>IF(OR(A907="",B907=""),"",SUMIFS($E$2:$E$1001,$A$2:$A$1001,A907,$B$2:$B$1001,B907))</f>
        <v/>
      </c>
    </row>
    <row r="908">
      <c r="A908" s="7" t="n"/>
      <c r="B908" s="6" t="n"/>
      <c r="C908" s="6" t="n"/>
      <c r="D908" s="6">
        <f>IF(C908="","",IFERROR(VLOOKUP(C908,Lists!$C:$D,2,FALSE),""))</f>
        <v/>
      </c>
      <c r="E908" s="6" t="n"/>
      <c r="F908" s="6" t="n"/>
      <c r="G908" s="7">
        <f>IF(A908="","",A908+(7-WEEKDAY(A908,2)))</f>
        <v/>
      </c>
      <c r="H908" s="6">
        <f>IF(OR(A908="",B908=""),"",SUMIFS($E$2:$E$1001,$A$2:$A$1001,A908,$B$2:$B$1001,B908))</f>
        <v/>
      </c>
    </row>
    <row r="909">
      <c r="A909" s="7" t="n"/>
      <c r="B909" s="6" t="n"/>
      <c r="C909" s="6" t="n"/>
      <c r="D909" s="6">
        <f>IF(C909="","",IFERROR(VLOOKUP(C909,Lists!$C:$D,2,FALSE),""))</f>
        <v/>
      </c>
      <c r="E909" s="6" t="n"/>
      <c r="F909" s="6" t="n"/>
      <c r="G909" s="7">
        <f>IF(A909="","",A909+(7-WEEKDAY(A909,2)))</f>
        <v/>
      </c>
      <c r="H909" s="6">
        <f>IF(OR(A909="",B909=""),"",SUMIFS($E$2:$E$1001,$A$2:$A$1001,A909,$B$2:$B$1001,B909))</f>
        <v/>
      </c>
    </row>
    <row r="910">
      <c r="A910" s="7" t="n"/>
      <c r="B910" s="6" t="n"/>
      <c r="C910" s="6" t="n"/>
      <c r="D910" s="6">
        <f>IF(C910="","",IFERROR(VLOOKUP(C910,Lists!$C:$D,2,FALSE),""))</f>
        <v/>
      </c>
      <c r="E910" s="6" t="n"/>
      <c r="F910" s="6" t="n"/>
      <c r="G910" s="7">
        <f>IF(A910="","",A910+(7-WEEKDAY(A910,2)))</f>
        <v/>
      </c>
      <c r="H910" s="6">
        <f>IF(OR(A910="",B910=""),"",SUMIFS($E$2:$E$1001,$A$2:$A$1001,A910,$B$2:$B$1001,B910))</f>
        <v/>
      </c>
    </row>
    <row r="911">
      <c r="A911" s="7" t="n"/>
      <c r="B911" s="6" t="n"/>
      <c r="C911" s="6" t="n"/>
      <c r="D911" s="6">
        <f>IF(C911="","",IFERROR(VLOOKUP(C911,Lists!$C:$D,2,FALSE),""))</f>
        <v/>
      </c>
      <c r="E911" s="6" t="n"/>
      <c r="F911" s="6" t="n"/>
      <c r="G911" s="7">
        <f>IF(A911="","",A911+(7-WEEKDAY(A911,2)))</f>
        <v/>
      </c>
      <c r="H911" s="6">
        <f>IF(OR(A911="",B911=""),"",SUMIFS($E$2:$E$1001,$A$2:$A$1001,A911,$B$2:$B$1001,B911))</f>
        <v/>
      </c>
    </row>
    <row r="912">
      <c r="A912" s="7" t="n"/>
      <c r="B912" s="6" t="n"/>
      <c r="C912" s="6" t="n"/>
      <c r="D912" s="6">
        <f>IF(C912="","",IFERROR(VLOOKUP(C912,Lists!$C:$D,2,FALSE),""))</f>
        <v/>
      </c>
      <c r="E912" s="6" t="n"/>
      <c r="F912" s="6" t="n"/>
      <c r="G912" s="7">
        <f>IF(A912="","",A912+(7-WEEKDAY(A912,2)))</f>
        <v/>
      </c>
      <c r="H912" s="6">
        <f>IF(OR(A912="",B912=""),"",SUMIFS($E$2:$E$1001,$A$2:$A$1001,A912,$B$2:$B$1001,B912))</f>
        <v/>
      </c>
    </row>
    <row r="913">
      <c r="A913" s="7" t="n"/>
      <c r="B913" s="6" t="n"/>
      <c r="C913" s="6" t="n"/>
      <c r="D913" s="6">
        <f>IF(C913="","",IFERROR(VLOOKUP(C913,Lists!$C:$D,2,FALSE),""))</f>
        <v/>
      </c>
      <c r="E913" s="6" t="n"/>
      <c r="F913" s="6" t="n"/>
      <c r="G913" s="7">
        <f>IF(A913="","",A913+(7-WEEKDAY(A913,2)))</f>
        <v/>
      </c>
      <c r="H913" s="6">
        <f>IF(OR(A913="",B913=""),"",SUMIFS($E$2:$E$1001,$A$2:$A$1001,A913,$B$2:$B$1001,B913))</f>
        <v/>
      </c>
    </row>
    <row r="914">
      <c r="A914" s="7" t="n"/>
      <c r="B914" s="6" t="n"/>
      <c r="C914" s="6" t="n"/>
      <c r="D914" s="6">
        <f>IF(C914="","",IFERROR(VLOOKUP(C914,Lists!$C:$D,2,FALSE),""))</f>
        <v/>
      </c>
      <c r="E914" s="6" t="n"/>
      <c r="F914" s="6" t="n"/>
      <c r="G914" s="7">
        <f>IF(A914="","",A914+(7-WEEKDAY(A914,2)))</f>
        <v/>
      </c>
      <c r="H914" s="6">
        <f>IF(OR(A914="",B914=""),"",SUMIFS($E$2:$E$1001,$A$2:$A$1001,A914,$B$2:$B$1001,B914))</f>
        <v/>
      </c>
    </row>
    <row r="915">
      <c r="A915" s="7" t="n"/>
      <c r="B915" s="6" t="n"/>
      <c r="C915" s="6" t="n"/>
      <c r="D915" s="6">
        <f>IF(C915="","",IFERROR(VLOOKUP(C915,Lists!$C:$D,2,FALSE),""))</f>
        <v/>
      </c>
      <c r="E915" s="6" t="n"/>
      <c r="F915" s="6" t="n"/>
      <c r="G915" s="7">
        <f>IF(A915="","",A915+(7-WEEKDAY(A915,2)))</f>
        <v/>
      </c>
      <c r="H915" s="6">
        <f>IF(OR(A915="",B915=""),"",SUMIFS($E$2:$E$1001,$A$2:$A$1001,A915,$B$2:$B$1001,B915))</f>
        <v/>
      </c>
    </row>
    <row r="916">
      <c r="A916" s="7" t="n"/>
      <c r="B916" s="6" t="n"/>
      <c r="C916" s="6" t="n"/>
      <c r="D916" s="6">
        <f>IF(C916="","",IFERROR(VLOOKUP(C916,Lists!$C:$D,2,FALSE),""))</f>
        <v/>
      </c>
      <c r="E916" s="6" t="n"/>
      <c r="F916" s="6" t="n"/>
      <c r="G916" s="7">
        <f>IF(A916="","",A916+(7-WEEKDAY(A916,2)))</f>
        <v/>
      </c>
      <c r="H916" s="6">
        <f>IF(OR(A916="",B916=""),"",SUMIFS($E$2:$E$1001,$A$2:$A$1001,A916,$B$2:$B$1001,B916))</f>
        <v/>
      </c>
    </row>
    <row r="917">
      <c r="A917" s="7" t="n"/>
      <c r="B917" s="6" t="n"/>
      <c r="C917" s="6" t="n"/>
      <c r="D917" s="6">
        <f>IF(C917="","",IFERROR(VLOOKUP(C917,Lists!$C:$D,2,FALSE),""))</f>
        <v/>
      </c>
      <c r="E917" s="6" t="n"/>
      <c r="F917" s="6" t="n"/>
      <c r="G917" s="7">
        <f>IF(A917="","",A917+(7-WEEKDAY(A917,2)))</f>
        <v/>
      </c>
      <c r="H917" s="6">
        <f>IF(OR(A917="",B917=""),"",SUMIFS($E$2:$E$1001,$A$2:$A$1001,A917,$B$2:$B$1001,B917))</f>
        <v/>
      </c>
    </row>
    <row r="918">
      <c r="A918" s="7" t="n"/>
      <c r="B918" s="6" t="n"/>
      <c r="C918" s="6" t="n"/>
      <c r="D918" s="6">
        <f>IF(C918="","",IFERROR(VLOOKUP(C918,Lists!$C:$D,2,FALSE),""))</f>
        <v/>
      </c>
      <c r="E918" s="6" t="n"/>
      <c r="F918" s="6" t="n"/>
      <c r="G918" s="7">
        <f>IF(A918="","",A918+(7-WEEKDAY(A918,2)))</f>
        <v/>
      </c>
      <c r="H918" s="6">
        <f>IF(OR(A918="",B918=""),"",SUMIFS($E$2:$E$1001,$A$2:$A$1001,A918,$B$2:$B$1001,B918))</f>
        <v/>
      </c>
    </row>
    <row r="919">
      <c r="A919" s="7" t="n"/>
      <c r="B919" s="6" t="n"/>
      <c r="C919" s="6" t="n"/>
      <c r="D919" s="6">
        <f>IF(C919="","",IFERROR(VLOOKUP(C919,Lists!$C:$D,2,FALSE),""))</f>
        <v/>
      </c>
      <c r="E919" s="6" t="n"/>
      <c r="F919" s="6" t="n"/>
      <c r="G919" s="7">
        <f>IF(A919="","",A919+(7-WEEKDAY(A919,2)))</f>
        <v/>
      </c>
      <c r="H919" s="6">
        <f>IF(OR(A919="",B919=""),"",SUMIFS($E$2:$E$1001,$A$2:$A$1001,A919,$B$2:$B$1001,B919))</f>
        <v/>
      </c>
    </row>
    <row r="920">
      <c r="A920" s="7" t="n"/>
      <c r="B920" s="6" t="n"/>
      <c r="C920" s="6" t="n"/>
      <c r="D920" s="6">
        <f>IF(C920="","",IFERROR(VLOOKUP(C920,Lists!$C:$D,2,FALSE),""))</f>
        <v/>
      </c>
      <c r="E920" s="6" t="n"/>
      <c r="F920" s="6" t="n"/>
      <c r="G920" s="7">
        <f>IF(A920="","",A920+(7-WEEKDAY(A920,2)))</f>
        <v/>
      </c>
      <c r="H920" s="6">
        <f>IF(OR(A920="",B920=""),"",SUMIFS($E$2:$E$1001,$A$2:$A$1001,A920,$B$2:$B$1001,B920))</f>
        <v/>
      </c>
    </row>
    <row r="921">
      <c r="A921" s="7" t="n"/>
      <c r="B921" s="6" t="n"/>
      <c r="C921" s="6" t="n"/>
      <c r="D921" s="6">
        <f>IF(C921="","",IFERROR(VLOOKUP(C921,Lists!$C:$D,2,FALSE),""))</f>
        <v/>
      </c>
      <c r="E921" s="6" t="n"/>
      <c r="F921" s="6" t="n"/>
      <c r="G921" s="7">
        <f>IF(A921="","",A921+(7-WEEKDAY(A921,2)))</f>
        <v/>
      </c>
      <c r="H921" s="6">
        <f>IF(OR(A921="",B921=""),"",SUMIFS($E$2:$E$1001,$A$2:$A$1001,A921,$B$2:$B$1001,B921))</f>
        <v/>
      </c>
    </row>
    <row r="922">
      <c r="A922" s="7" t="n"/>
      <c r="B922" s="6" t="n"/>
      <c r="C922" s="6" t="n"/>
      <c r="D922" s="6">
        <f>IF(C922="","",IFERROR(VLOOKUP(C922,Lists!$C:$D,2,FALSE),""))</f>
        <v/>
      </c>
      <c r="E922" s="6" t="n"/>
      <c r="F922" s="6" t="n"/>
      <c r="G922" s="7">
        <f>IF(A922="","",A922+(7-WEEKDAY(A922,2)))</f>
        <v/>
      </c>
      <c r="H922" s="6">
        <f>IF(OR(A922="",B922=""),"",SUMIFS($E$2:$E$1001,$A$2:$A$1001,A922,$B$2:$B$1001,B922))</f>
        <v/>
      </c>
    </row>
    <row r="923">
      <c r="A923" s="7" t="n"/>
      <c r="B923" s="6" t="n"/>
      <c r="C923" s="6" t="n"/>
      <c r="D923" s="6">
        <f>IF(C923="","",IFERROR(VLOOKUP(C923,Lists!$C:$D,2,FALSE),""))</f>
        <v/>
      </c>
      <c r="E923" s="6" t="n"/>
      <c r="F923" s="6" t="n"/>
      <c r="G923" s="7">
        <f>IF(A923="","",A923+(7-WEEKDAY(A923,2)))</f>
        <v/>
      </c>
      <c r="H923" s="6">
        <f>IF(OR(A923="",B923=""),"",SUMIFS($E$2:$E$1001,$A$2:$A$1001,A923,$B$2:$B$1001,B923))</f>
        <v/>
      </c>
    </row>
    <row r="924">
      <c r="A924" s="7" t="n"/>
      <c r="B924" s="6" t="n"/>
      <c r="C924" s="6" t="n"/>
      <c r="D924" s="6">
        <f>IF(C924="","",IFERROR(VLOOKUP(C924,Lists!$C:$D,2,FALSE),""))</f>
        <v/>
      </c>
      <c r="E924" s="6" t="n"/>
      <c r="F924" s="6" t="n"/>
      <c r="G924" s="7">
        <f>IF(A924="","",A924+(7-WEEKDAY(A924,2)))</f>
        <v/>
      </c>
      <c r="H924" s="6">
        <f>IF(OR(A924="",B924=""),"",SUMIFS($E$2:$E$1001,$A$2:$A$1001,A924,$B$2:$B$1001,B924))</f>
        <v/>
      </c>
    </row>
    <row r="925">
      <c r="A925" s="7" t="n"/>
      <c r="B925" s="6" t="n"/>
      <c r="C925" s="6" t="n"/>
      <c r="D925" s="6">
        <f>IF(C925="","",IFERROR(VLOOKUP(C925,Lists!$C:$D,2,FALSE),""))</f>
        <v/>
      </c>
      <c r="E925" s="6" t="n"/>
      <c r="F925" s="6" t="n"/>
      <c r="G925" s="7">
        <f>IF(A925="","",A925+(7-WEEKDAY(A925,2)))</f>
        <v/>
      </c>
      <c r="H925" s="6">
        <f>IF(OR(A925="",B925=""),"",SUMIFS($E$2:$E$1001,$A$2:$A$1001,A925,$B$2:$B$1001,B925))</f>
        <v/>
      </c>
    </row>
    <row r="926">
      <c r="A926" s="7" t="n"/>
      <c r="B926" s="6" t="n"/>
      <c r="C926" s="6" t="n"/>
      <c r="D926" s="6">
        <f>IF(C926="","",IFERROR(VLOOKUP(C926,Lists!$C:$D,2,FALSE),""))</f>
        <v/>
      </c>
      <c r="E926" s="6" t="n"/>
      <c r="F926" s="6" t="n"/>
      <c r="G926" s="7">
        <f>IF(A926="","",A926+(7-WEEKDAY(A926,2)))</f>
        <v/>
      </c>
      <c r="H926" s="6">
        <f>IF(OR(A926="",B926=""),"",SUMIFS($E$2:$E$1001,$A$2:$A$1001,A926,$B$2:$B$1001,B926))</f>
        <v/>
      </c>
    </row>
    <row r="927">
      <c r="A927" s="7" t="n"/>
      <c r="B927" s="6" t="n"/>
      <c r="C927" s="6" t="n"/>
      <c r="D927" s="6">
        <f>IF(C927="","",IFERROR(VLOOKUP(C927,Lists!$C:$D,2,FALSE),""))</f>
        <v/>
      </c>
      <c r="E927" s="6" t="n"/>
      <c r="F927" s="6" t="n"/>
      <c r="G927" s="7">
        <f>IF(A927="","",A927+(7-WEEKDAY(A927,2)))</f>
        <v/>
      </c>
      <c r="H927" s="6">
        <f>IF(OR(A927="",B927=""),"",SUMIFS($E$2:$E$1001,$A$2:$A$1001,A927,$B$2:$B$1001,B927))</f>
        <v/>
      </c>
    </row>
    <row r="928">
      <c r="A928" s="7" t="n"/>
      <c r="B928" s="6" t="n"/>
      <c r="C928" s="6" t="n"/>
      <c r="D928" s="6">
        <f>IF(C928="","",IFERROR(VLOOKUP(C928,Lists!$C:$D,2,FALSE),""))</f>
        <v/>
      </c>
      <c r="E928" s="6" t="n"/>
      <c r="F928" s="6" t="n"/>
      <c r="G928" s="7">
        <f>IF(A928="","",A928+(7-WEEKDAY(A928,2)))</f>
        <v/>
      </c>
      <c r="H928" s="6">
        <f>IF(OR(A928="",B928=""),"",SUMIFS($E$2:$E$1001,$A$2:$A$1001,A928,$B$2:$B$1001,B928))</f>
        <v/>
      </c>
    </row>
    <row r="929">
      <c r="A929" s="7" t="n"/>
      <c r="B929" s="6" t="n"/>
      <c r="C929" s="6" t="n"/>
      <c r="D929" s="6">
        <f>IF(C929="","",IFERROR(VLOOKUP(C929,Lists!$C:$D,2,FALSE),""))</f>
        <v/>
      </c>
      <c r="E929" s="6" t="n"/>
      <c r="F929" s="6" t="n"/>
      <c r="G929" s="7">
        <f>IF(A929="","",A929+(7-WEEKDAY(A929,2)))</f>
        <v/>
      </c>
      <c r="H929" s="6">
        <f>IF(OR(A929="",B929=""),"",SUMIFS($E$2:$E$1001,$A$2:$A$1001,A929,$B$2:$B$1001,B929))</f>
        <v/>
      </c>
    </row>
    <row r="930">
      <c r="A930" s="7" t="n"/>
      <c r="B930" s="6" t="n"/>
      <c r="C930" s="6" t="n"/>
      <c r="D930" s="6">
        <f>IF(C930="","",IFERROR(VLOOKUP(C930,Lists!$C:$D,2,FALSE),""))</f>
        <v/>
      </c>
      <c r="E930" s="6" t="n"/>
      <c r="F930" s="6" t="n"/>
      <c r="G930" s="7">
        <f>IF(A930="","",A930+(7-WEEKDAY(A930,2)))</f>
        <v/>
      </c>
      <c r="H930" s="6">
        <f>IF(OR(A930="",B930=""),"",SUMIFS($E$2:$E$1001,$A$2:$A$1001,A930,$B$2:$B$1001,B930))</f>
        <v/>
      </c>
    </row>
    <row r="931">
      <c r="A931" s="7" t="n"/>
      <c r="B931" s="6" t="n"/>
      <c r="C931" s="6" t="n"/>
      <c r="D931" s="6">
        <f>IF(C931="","",IFERROR(VLOOKUP(C931,Lists!$C:$D,2,FALSE),""))</f>
        <v/>
      </c>
      <c r="E931" s="6" t="n"/>
      <c r="F931" s="6" t="n"/>
      <c r="G931" s="7">
        <f>IF(A931="","",A931+(7-WEEKDAY(A931,2)))</f>
        <v/>
      </c>
      <c r="H931" s="6">
        <f>IF(OR(A931="",B931=""),"",SUMIFS($E$2:$E$1001,$A$2:$A$1001,A931,$B$2:$B$1001,B931))</f>
        <v/>
      </c>
    </row>
    <row r="932">
      <c r="A932" s="7" t="n"/>
      <c r="B932" s="6" t="n"/>
      <c r="C932" s="6" t="n"/>
      <c r="D932" s="6">
        <f>IF(C932="","",IFERROR(VLOOKUP(C932,Lists!$C:$D,2,FALSE),""))</f>
        <v/>
      </c>
      <c r="E932" s="6" t="n"/>
      <c r="F932" s="6" t="n"/>
      <c r="G932" s="7">
        <f>IF(A932="","",A932+(7-WEEKDAY(A932,2)))</f>
        <v/>
      </c>
      <c r="H932" s="6">
        <f>IF(OR(A932="",B932=""),"",SUMIFS($E$2:$E$1001,$A$2:$A$1001,A932,$B$2:$B$1001,B932))</f>
        <v/>
      </c>
    </row>
    <row r="933">
      <c r="A933" s="7" t="n"/>
      <c r="B933" s="6" t="n"/>
      <c r="C933" s="6" t="n"/>
      <c r="D933" s="6">
        <f>IF(C933="","",IFERROR(VLOOKUP(C933,Lists!$C:$D,2,FALSE),""))</f>
        <v/>
      </c>
      <c r="E933" s="6" t="n"/>
      <c r="F933" s="6" t="n"/>
      <c r="G933" s="7">
        <f>IF(A933="","",A933+(7-WEEKDAY(A933,2)))</f>
        <v/>
      </c>
      <c r="H933" s="6">
        <f>IF(OR(A933="",B933=""),"",SUMIFS($E$2:$E$1001,$A$2:$A$1001,A933,$B$2:$B$1001,B933))</f>
        <v/>
      </c>
    </row>
    <row r="934">
      <c r="A934" s="7" t="n"/>
      <c r="B934" s="6" t="n"/>
      <c r="C934" s="6" t="n"/>
      <c r="D934" s="6">
        <f>IF(C934="","",IFERROR(VLOOKUP(C934,Lists!$C:$D,2,FALSE),""))</f>
        <v/>
      </c>
      <c r="E934" s="6" t="n"/>
      <c r="F934" s="6" t="n"/>
      <c r="G934" s="7">
        <f>IF(A934="","",A934+(7-WEEKDAY(A934,2)))</f>
        <v/>
      </c>
      <c r="H934" s="6">
        <f>IF(OR(A934="",B934=""),"",SUMIFS($E$2:$E$1001,$A$2:$A$1001,A934,$B$2:$B$1001,B934))</f>
        <v/>
      </c>
    </row>
    <row r="935">
      <c r="A935" s="7" t="n"/>
      <c r="B935" s="6" t="n"/>
      <c r="C935" s="6" t="n"/>
      <c r="D935" s="6">
        <f>IF(C935="","",IFERROR(VLOOKUP(C935,Lists!$C:$D,2,FALSE),""))</f>
        <v/>
      </c>
      <c r="E935" s="6" t="n"/>
      <c r="F935" s="6" t="n"/>
      <c r="G935" s="7">
        <f>IF(A935="","",A935+(7-WEEKDAY(A935,2)))</f>
        <v/>
      </c>
      <c r="H935" s="6">
        <f>IF(OR(A935="",B935=""),"",SUMIFS($E$2:$E$1001,$A$2:$A$1001,A935,$B$2:$B$1001,B935))</f>
        <v/>
      </c>
    </row>
    <row r="936">
      <c r="A936" s="7" t="n"/>
      <c r="B936" s="6" t="n"/>
      <c r="C936" s="6" t="n"/>
      <c r="D936" s="6">
        <f>IF(C936="","",IFERROR(VLOOKUP(C936,Lists!$C:$D,2,FALSE),""))</f>
        <v/>
      </c>
      <c r="E936" s="6" t="n"/>
      <c r="F936" s="6" t="n"/>
      <c r="G936" s="7">
        <f>IF(A936="","",A936+(7-WEEKDAY(A936,2)))</f>
        <v/>
      </c>
      <c r="H936" s="6">
        <f>IF(OR(A936="",B936=""),"",SUMIFS($E$2:$E$1001,$A$2:$A$1001,A936,$B$2:$B$1001,B936))</f>
        <v/>
      </c>
    </row>
    <row r="937">
      <c r="A937" s="7" t="n"/>
      <c r="B937" s="6" t="n"/>
      <c r="C937" s="6" t="n"/>
      <c r="D937" s="6">
        <f>IF(C937="","",IFERROR(VLOOKUP(C937,Lists!$C:$D,2,FALSE),""))</f>
        <v/>
      </c>
      <c r="E937" s="6" t="n"/>
      <c r="F937" s="6" t="n"/>
      <c r="G937" s="7">
        <f>IF(A937="","",A937+(7-WEEKDAY(A937,2)))</f>
        <v/>
      </c>
      <c r="H937" s="6">
        <f>IF(OR(A937="",B937=""),"",SUMIFS($E$2:$E$1001,$A$2:$A$1001,A937,$B$2:$B$1001,B937))</f>
        <v/>
      </c>
    </row>
    <row r="938">
      <c r="A938" s="7" t="n"/>
      <c r="B938" s="6" t="n"/>
      <c r="C938" s="6" t="n"/>
      <c r="D938" s="6">
        <f>IF(C938="","",IFERROR(VLOOKUP(C938,Lists!$C:$D,2,FALSE),""))</f>
        <v/>
      </c>
      <c r="E938" s="6" t="n"/>
      <c r="F938" s="6" t="n"/>
      <c r="G938" s="7">
        <f>IF(A938="","",A938+(7-WEEKDAY(A938,2)))</f>
        <v/>
      </c>
      <c r="H938" s="6">
        <f>IF(OR(A938="",B938=""),"",SUMIFS($E$2:$E$1001,$A$2:$A$1001,A938,$B$2:$B$1001,B938))</f>
        <v/>
      </c>
    </row>
    <row r="939">
      <c r="A939" s="7" t="n"/>
      <c r="B939" s="6" t="n"/>
      <c r="C939" s="6" t="n"/>
      <c r="D939" s="6">
        <f>IF(C939="","",IFERROR(VLOOKUP(C939,Lists!$C:$D,2,FALSE),""))</f>
        <v/>
      </c>
      <c r="E939" s="6" t="n"/>
      <c r="F939" s="6" t="n"/>
      <c r="G939" s="7">
        <f>IF(A939="","",A939+(7-WEEKDAY(A939,2)))</f>
        <v/>
      </c>
      <c r="H939" s="6">
        <f>IF(OR(A939="",B939=""),"",SUMIFS($E$2:$E$1001,$A$2:$A$1001,A939,$B$2:$B$1001,B939))</f>
        <v/>
      </c>
    </row>
    <row r="940">
      <c r="A940" s="7" t="n"/>
      <c r="B940" s="6" t="n"/>
      <c r="C940" s="6" t="n"/>
      <c r="D940" s="6">
        <f>IF(C940="","",IFERROR(VLOOKUP(C940,Lists!$C:$D,2,FALSE),""))</f>
        <v/>
      </c>
      <c r="E940" s="6" t="n"/>
      <c r="F940" s="6" t="n"/>
      <c r="G940" s="7">
        <f>IF(A940="","",A940+(7-WEEKDAY(A940,2)))</f>
        <v/>
      </c>
      <c r="H940" s="6">
        <f>IF(OR(A940="",B940=""),"",SUMIFS($E$2:$E$1001,$A$2:$A$1001,A940,$B$2:$B$1001,B940))</f>
        <v/>
      </c>
    </row>
    <row r="941">
      <c r="A941" s="7" t="n"/>
      <c r="B941" s="6" t="n"/>
      <c r="C941" s="6" t="n"/>
      <c r="D941" s="6">
        <f>IF(C941="","",IFERROR(VLOOKUP(C941,Lists!$C:$D,2,FALSE),""))</f>
        <v/>
      </c>
      <c r="E941" s="6" t="n"/>
      <c r="F941" s="6" t="n"/>
      <c r="G941" s="7">
        <f>IF(A941="","",A941+(7-WEEKDAY(A941,2)))</f>
        <v/>
      </c>
      <c r="H941" s="6">
        <f>IF(OR(A941="",B941=""),"",SUMIFS($E$2:$E$1001,$A$2:$A$1001,A941,$B$2:$B$1001,B941))</f>
        <v/>
      </c>
    </row>
    <row r="942">
      <c r="A942" s="7" t="n"/>
      <c r="B942" s="6" t="n"/>
      <c r="C942" s="6" t="n"/>
      <c r="D942" s="6">
        <f>IF(C942="","",IFERROR(VLOOKUP(C942,Lists!$C:$D,2,FALSE),""))</f>
        <v/>
      </c>
      <c r="E942" s="6" t="n"/>
      <c r="F942" s="6" t="n"/>
      <c r="G942" s="7">
        <f>IF(A942="","",A942+(7-WEEKDAY(A942,2)))</f>
        <v/>
      </c>
      <c r="H942" s="6">
        <f>IF(OR(A942="",B942=""),"",SUMIFS($E$2:$E$1001,$A$2:$A$1001,A942,$B$2:$B$1001,B942))</f>
        <v/>
      </c>
    </row>
    <row r="943">
      <c r="A943" s="7" t="n"/>
      <c r="B943" s="6" t="n"/>
      <c r="C943" s="6" t="n"/>
      <c r="D943" s="6">
        <f>IF(C943="","",IFERROR(VLOOKUP(C943,Lists!$C:$D,2,FALSE),""))</f>
        <v/>
      </c>
      <c r="E943" s="6" t="n"/>
      <c r="F943" s="6" t="n"/>
      <c r="G943" s="7">
        <f>IF(A943="","",A943+(7-WEEKDAY(A943,2)))</f>
        <v/>
      </c>
      <c r="H943" s="6">
        <f>IF(OR(A943="",B943=""),"",SUMIFS($E$2:$E$1001,$A$2:$A$1001,A943,$B$2:$B$1001,B943))</f>
        <v/>
      </c>
    </row>
    <row r="944">
      <c r="A944" s="7" t="n"/>
      <c r="B944" s="6" t="n"/>
      <c r="C944" s="6" t="n"/>
      <c r="D944" s="6">
        <f>IF(C944="","",IFERROR(VLOOKUP(C944,Lists!$C:$D,2,FALSE),""))</f>
        <v/>
      </c>
      <c r="E944" s="6" t="n"/>
      <c r="F944" s="6" t="n"/>
      <c r="G944" s="7">
        <f>IF(A944="","",A944+(7-WEEKDAY(A944,2)))</f>
        <v/>
      </c>
      <c r="H944" s="6">
        <f>IF(OR(A944="",B944=""),"",SUMIFS($E$2:$E$1001,$A$2:$A$1001,A944,$B$2:$B$1001,B944))</f>
        <v/>
      </c>
    </row>
    <row r="945">
      <c r="A945" s="7" t="n"/>
      <c r="B945" s="6" t="n"/>
      <c r="C945" s="6" t="n"/>
      <c r="D945" s="6">
        <f>IF(C945="","",IFERROR(VLOOKUP(C945,Lists!$C:$D,2,FALSE),""))</f>
        <v/>
      </c>
      <c r="E945" s="6" t="n"/>
      <c r="F945" s="6" t="n"/>
      <c r="G945" s="7">
        <f>IF(A945="","",A945+(7-WEEKDAY(A945,2)))</f>
        <v/>
      </c>
      <c r="H945" s="6">
        <f>IF(OR(A945="",B945=""),"",SUMIFS($E$2:$E$1001,$A$2:$A$1001,A945,$B$2:$B$1001,B945))</f>
        <v/>
      </c>
    </row>
    <row r="946">
      <c r="A946" s="7" t="n"/>
      <c r="B946" s="6" t="n"/>
      <c r="C946" s="6" t="n"/>
      <c r="D946" s="6">
        <f>IF(C946="","",IFERROR(VLOOKUP(C946,Lists!$C:$D,2,FALSE),""))</f>
        <v/>
      </c>
      <c r="E946" s="6" t="n"/>
      <c r="F946" s="6" t="n"/>
      <c r="G946" s="7">
        <f>IF(A946="","",A946+(7-WEEKDAY(A946,2)))</f>
        <v/>
      </c>
      <c r="H946" s="6">
        <f>IF(OR(A946="",B946=""),"",SUMIFS($E$2:$E$1001,$A$2:$A$1001,A946,$B$2:$B$1001,B946))</f>
        <v/>
      </c>
    </row>
    <row r="947">
      <c r="A947" s="7" t="n"/>
      <c r="B947" s="6" t="n"/>
      <c r="C947" s="6" t="n"/>
      <c r="D947" s="6">
        <f>IF(C947="","",IFERROR(VLOOKUP(C947,Lists!$C:$D,2,FALSE),""))</f>
        <v/>
      </c>
      <c r="E947" s="6" t="n"/>
      <c r="F947" s="6" t="n"/>
      <c r="G947" s="7">
        <f>IF(A947="","",A947+(7-WEEKDAY(A947,2)))</f>
        <v/>
      </c>
      <c r="H947" s="6">
        <f>IF(OR(A947="",B947=""),"",SUMIFS($E$2:$E$1001,$A$2:$A$1001,A947,$B$2:$B$1001,B947))</f>
        <v/>
      </c>
    </row>
    <row r="948">
      <c r="A948" s="7" t="n"/>
      <c r="B948" s="6" t="n"/>
      <c r="C948" s="6" t="n"/>
      <c r="D948" s="6">
        <f>IF(C948="","",IFERROR(VLOOKUP(C948,Lists!$C:$D,2,FALSE),""))</f>
        <v/>
      </c>
      <c r="E948" s="6" t="n"/>
      <c r="F948" s="6" t="n"/>
      <c r="G948" s="7">
        <f>IF(A948="","",A948+(7-WEEKDAY(A948,2)))</f>
        <v/>
      </c>
      <c r="H948" s="6">
        <f>IF(OR(A948="",B948=""),"",SUMIFS($E$2:$E$1001,$A$2:$A$1001,A948,$B$2:$B$1001,B948))</f>
        <v/>
      </c>
    </row>
    <row r="949">
      <c r="A949" s="7" t="n"/>
      <c r="B949" s="6" t="n"/>
      <c r="C949" s="6" t="n"/>
      <c r="D949" s="6">
        <f>IF(C949="","",IFERROR(VLOOKUP(C949,Lists!$C:$D,2,FALSE),""))</f>
        <v/>
      </c>
      <c r="E949" s="6" t="n"/>
      <c r="F949" s="6" t="n"/>
      <c r="G949" s="7">
        <f>IF(A949="","",A949+(7-WEEKDAY(A949,2)))</f>
        <v/>
      </c>
      <c r="H949" s="6">
        <f>IF(OR(A949="",B949=""),"",SUMIFS($E$2:$E$1001,$A$2:$A$1001,A949,$B$2:$B$1001,B949))</f>
        <v/>
      </c>
    </row>
    <row r="950">
      <c r="A950" s="7" t="n"/>
      <c r="B950" s="6" t="n"/>
      <c r="C950" s="6" t="n"/>
      <c r="D950" s="6">
        <f>IF(C950="","",IFERROR(VLOOKUP(C950,Lists!$C:$D,2,FALSE),""))</f>
        <v/>
      </c>
      <c r="E950" s="6" t="n"/>
      <c r="F950" s="6" t="n"/>
      <c r="G950" s="7">
        <f>IF(A950="","",A950+(7-WEEKDAY(A950,2)))</f>
        <v/>
      </c>
      <c r="H950" s="6">
        <f>IF(OR(A950="",B950=""),"",SUMIFS($E$2:$E$1001,$A$2:$A$1001,A950,$B$2:$B$1001,B950))</f>
        <v/>
      </c>
    </row>
    <row r="951">
      <c r="A951" s="7" t="n"/>
      <c r="B951" s="6" t="n"/>
      <c r="C951" s="6" t="n"/>
      <c r="D951" s="6">
        <f>IF(C951="","",IFERROR(VLOOKUP(C951,Lists!$C:$D,2,FALSE),""))</f>
        <v/>
      </c>
      <c r="E951" s="6" t="n"/>
      <c r="F951" s="6" t="n"/>
      <c r="G951" s="7">
        <f>IF(A951="","",A951+(7-WEEKDAY(A951,2)))</f>
        <v/>
      </c>
      <c r="H951" s="6">
        <f>IF(OR(A951="",B951=""),"",SUMIFS($E$2:$E$1001,$A$2:$A$1001,A951,$B$2:$B$1001,B951))</f>
        <v/>
      </c>
    </row>
    <row r="952">
      <c r="A952" s="7" t="n"/>
      <c r="B952" s="6" t="n"/>
      <c r="C952" s="6" t="n"/>
      <c r="D952" s="6">
        <f>IF(C952="","",IFERROR(VLOOKUP(C952,Lists!$C:$D,2,FALSE),""))</f>
        <v/>
      </c>
      <c r="E952" s="6" t="n"/>
      <c r="F952" s="6" t="n"/>
      <c r="G952" s="7">
        <f>IF(A952="","",A952+(7-WEEKDAY(A952,2)))</f>
        <v/>
      </c>
      <c r="H952" s="6">
        <f>IF(OR(A952="",B952=""),"",SUMIFS($E$2:$E$1001,$A$2:$A$1001,A952,$B$2:$B$1001,B952))</f>
        <v/>
      </c>
    </row>
    <row r="953">
      <c r="A953" s="7" t="n"/>
      <c r="B953" s="6" t="n"/>
      <c r="C953" s="6" t="n"/>
      <c r="D953" s="6">
        <f>IF(C953="","",IFERROR(VLOOKUP(C953,Lists!$C:$D,2,FALSE),""))</f>
        <v/>
      </c>
      <c r="E953" s="6" t="n"/>
      <c r="F953" s="6" t="n"/>
      <c r="G953" s="7">
        <f>IF(A953="","",A953+(7-WEEKDAY(A953,2)))</f>
        <v/>
      </c>
      <c r="H953" s="6">
        <f>IF(OR(A953="",B953=""),"",SUMIFS($E$2:$E$1001,$A$2:$A$1001,A953,$B$2:$B$1001,B953))</f>
        <v/>
      </c>
    </row>
    <row r="954">
      <c r="A954" s="7" t="n"/>
      <c r="B954" s="6" t="n"/>
      <c r="C954" s="6" t="n"/>
      <c r="D954" s="6">
        <f>IF(C954="","",IFERROR(VLOOKUP(C954,Lists!$C:$D,2,FALSE),""))</f>
        <v/>
      </c>
      <c r="E954" s="6" t="n"/>
      <c r="F954" s="6" t="n"/>
      <c r="G954" s="7">
        <f>IF(A954="","",A954+(7-WEEKDAY(A954,2)))</f>
        <v/>
      </c>
      <c r="H954" s="6">
        <f>IF(OR(A954="",B954=""),"",SUMIFS($E$2:$E$1001,$A$2:$A$1001,A954,$B$2:$B$1001,B954))</f>
        <v/>
      </c>
    </row>
    <row r="955">
      <c r="A955" s="7" t="n"/>
      <c r="B955" s="6" t="n"/>
      <c r="C955" s="6" t="n"/>
      <c r="D955" s="6">
        <f>IF(C955="","",IFERROR(VLOOKUP(C955,Lists!$C:$D,2,FALSE),""))</f>
        <v/>
      </c>
      <c r="E955" s="6" t="n"/>
      <c r="F955" s="6" t="n"/>
      <c r="G955" s="7">
        <f>IF(A955="","",A955+(7-WEEKDAY(A955,2)))</f>
        <v/>
      </c>
      <c r="H955" s="6">
        <f>IF(OR(A955="",B955=""),"",SUMIFS($E$2:$E$1001,$A$2:$A$1001,A955,$B$2:$B$1001,B955))</f>
        <v/>
      </c>
    </row>
    <row r="956">
      <c r="A956" s="7" t="n"/>
      <c r="B956" s="6" t="n"/>
      <c r="C956" s="6" t="n"/>
      <c r="D956" s="6">
        <f>IF(C956="","",IFERROR(VLOOKUP(C956,Lists!$C:$D,2,FALSE),""))</f>
        <v/>
      </c>
      <c r="E956" s="6" t="n"/>
      <c r="F956" s="6" t="n"/>
      <c r="G956" s="7">
        <f>IF(A956="","",A956+(7-WEEKDAY(A956,2)))</f>
        <v/>
      </c>
      <c r="H956" s="6">
        <f>IF(OR(A956="",B956=""),"",SUMIFS($E$2:$E$1001,$A$2:$A$1001,A956,$B$2:$B$1001,B956))</f>
        <v/>
      </c>
    </row>
    <row r="957">
      <c r="A957" s="7" t="n"/>
      <c r="B957" s="6" t="n"/>
      <c r="C957" s="6" t="n"/>
      <c r="D957" s="6">
        <f>IF(C957="","",IFERROR(VLOOKUP(C957,Lists!$C:$D,2,FALSE),""))</f>
        <v/>
      </c>
      <c r="E957" s="6" t="n"/>
      <c r="F957" s="6" t="n"/>
      <c r="G957" s="7">
        <f>IF(A957="","",A957+(7-WEEKDAY(A957,2)))</f>
        <v/>
      </c>
      <c r="H957" s="6">
        <f>IF(OR(A957="",B957=""),"",SUMIFS($E$2:$E$1001,$A$2:$A$1001,A957,$B$2:$B$1001,B957))</f>
        <v/>
      </c>
    </row>
    <row r="958">
      <c r="A958" s="7" t="n"/>
      <c r="B958" s="6" t="n"/>
      <c r="C958" s="6" t="n"/>
      <c r="D958" s="6">
        <f>IF(C958="","",IFERROR(VLOOKUP(C958,Lists!$C:$D,2,FALSE),""))</f>
        <v/>
      </c>
      <c r="E958" s="6" t="n"/>
      <c r="F958" s="6" t="n"/>
      <c r="G958" s="7">
        <f>IF(A958="","",A958+(7-WEEKDAY(A958,2)))</f>
        <v/>
      </c>
      <c r="H958" s="6">
        <f>IF(OR(A958="",B958=""),"",SUMIFS($E$2:$E$1001,$A$2:$A$1001,A958,$B$2:$B$1001,B958))</f>
        <v/>
      </c>
    </row>
    <row r="959">
      <c r="A959" s="7" t="n"/>
      <c r="B959" s="6" t="n"/>
      <c r="C959" s="6" t="n"/>
      <c r="D959" s="6">
        <f>IF(C959="","",IFERROR(VLOOKUP(C959,Lists!$C:$D,2,FALSE),""))</f>
        <v/>
      </c>
      <c r="E959" s="6" t="n"/>
      <c r="F959" s="6" t="n"/>
      <c r="G959" s="7">
        <f>IF(A959="","",A959+(7-WEEKDAY(A959,2)))</f>
        <v/>
      </c>
      <c r="H959" s="6">
        <f>IF(OR(A959="",B959=""),"",SUMIFS($E$2:$E$1001,$A$2:$A$1001,A959,$B$2:$B$1001,B959))</f>
        <v/>
      </c>
    </row>
    <row r="960">
      <c r="A960" s="7" t="n"/>
      <c r="B960" s="6" t="n"/>
      <c r="C960" s="6" t="n"/>
      <c r="D960" s="6">
        <f>IF(C960="","",IFERROR(VLOOKUP(C960,Lists!$C:$D,2,FALSE),""))</f>
        <v/>
      </c>
      <c r="E960" s="6" t="n"/>
      <c r="F960" s="6" t="n"/>
      <c r="G960" s="7">
        <f>IF(A960="","",A960+(7-WEEKDAY(A960,2)))</f>
        <v/>
      </c>
      <c r="H960" s="6">
        <f>IF(OR(A960="",B960=""),"",SUMIFS($E$2:$E$1001,$A$2:$A$1001,A960,$B$2:$B$1001,B960))</f>
        <v/>
      </c>
    </row>
    <row r="961">
      <c r="A961" s="7" t="n"/>
      <c r="B961" s="6" t="n"/>
      <c r="C961" s="6" t="n"/>
      <c r="D961" s="6">
        <f>IF(C961="","",IFERROR(VLOOKUP(C961,Lists!$C:$D,2,FALSE),""))</f>
        <v/>
      </c>
      <c r="E961" s="6" t="n"/>
      <c r="F961" s="6" t="n"/>
      <c r="G961" s="7">
        <f>IF(A961="","",A961+(7-WEEKDAY(A961,2)))</f>
        <v/>
      </c>
      <c r="H961" s="6">
        <f>IF(OR(A961="",B961=""),"",SUMIFS($E$2:$E$1001,$A$2:$A$1001,A961,$B$2:$B$1001,B961))</f>
        <v/>
      </c>
    </row>
    <row r="962">
      <c r="A962" s="7" t="n"/>
      <c r="B962" s="6" t="n"/>
      <c r="C962" s="6" t="n"/>
      <c r="D962" s="6">
        <f>IF(C962="","",IFERROR(VLOOKUP(C962,Lists!$C:$D,2,FALSE),""))</f>
        <v/>
      </c>
      <c r="E962" s="6" t="n"/>
      <c r="F962" s="6" t="n"/>
      <c r="G962" s="7">
        <f>IF(A962="","",A962+(7-WEEKDAY(A962,2)))</f>
        <v/>
      </c>
      <c r="H962" s="6">
        <f>IF(OR(A962="",B962=""),"",SUMIFS($E$2:$E$1001,$A$2:$A$1001,A962,$B$2:$B$1001,B962))</f>
        <v/>
      </c>
    </row>
    <row r="963">
      <c r="A963" s="7" t="n"/>
      <c r="B963" s="6" t="n"/>
      <c r="C963" s="6" t="n"/>
      <c r="D963" s="6">
        <f>IF(C963="","",IFERROR(VLOOKUP(C963,Lists!$C:$D,2,FALSE),""))</f>
        <v/>
      </c>
      <c r="E963" s="6" t="n"/>
      <c r="F963" s="6" t="n"/>
      <c r="G963" s="7">
        <f>IF(A963="","",A963+(7-WEEKDAY(A963,2)))</f>
        <v/>
      </c>
      <c r="H963" s="6">
        <f>IF(OR(A963="",B963=""),"",SUMIFS($E$2:$E$1001,$A$2:$A$1001,A963,$B$2:$B$1001,B963))</f>
        <v/>
      </c>
    </row>
    <row r="964">
      <c r="A964" s="7" t="n"/>
      <c r="B964" s="6" t="n"/>
      <c r="C964" s="6" t="n"/>
      <c r="D964" s="6">
        <f>IF(C964="","",IFERROR(VLOOKUP(C964,Lists!$C:$D,2,FALSE),""))</f>
        <v/>
      </c>
      <c r="E964" s="6" t="n"/>
      <c r="F964" s="6" t="n"/>
      <c r="G964" s="7">
        <f>IF(A964="","",A964+(7-WEEKDAY(A964,2)))</f>
        <v/>
      </c>
      <c r="H964" s="6">
        <f>IF(OR(A964="",B964=""),"",SUMIFS($E$2:$E$1001,$A$2:$A$1001,A964,$B$2:$B$1001,B964))</f>
        <v/>
      </c>
    </row>
    <row r="965">
      <c r="A965" s="7" t="n"/>
      <c r="B965" s="6" t="n"/>
      <c r="C965" s="6" t="n"/>
      <c r="D965" s="6">
        <f>IF(C965="","",IFERROR(VLOOKUP(C965,Lists!$C:$D,2,FALSE),""))</f>
        <v/>
      </c>
      <c r="E965" s="6" t="n"/>
      <c r="F965" s="6" t="n"/>
      <c r="G965" s="7">
        <f>IF(A965="","",A965+(7-WEEKDAY(A965,2)))</f>
        <v/>
      </c>
      <c r="H965" s="6">
        <f>IF(OR(A965="",B965=""),"",SUMIFS($E$2:$E$1001,$A$2:$A$1001,A965,$B$2:$B$1001,B965))</f>
        <v/>
      </c>
    </row>
    <row r="966">
      <c r="A966" s="7" t="n"/>
      <c r="B966" s="6" t="n"/>
      <c r="C966" s="6" t="n"/>
      <c r="D966" s="6">
        <f>IF(C966="","",IFERROR(VLOOKUP(C966,Lists!$C:$D,2,FALSE),""))</f>
        <v/>
      </c>
      <c r="E966" s="6" t="n"/>
      <c r="F966" s="6" t="n"/>
      <c r="G966" s="7">
        <f>IF(A966="","",A966+(7-WEEKDAY(A966,2)))</f>
        <v/>
      </c>
      <c r="H966" s="6">
        <f>IF(OR(A966="",B966=""),"",SUMIFS($E$2:$E$1001,$A$2:$A$1001,A966,$B$2:$B$1001,B966))</f>
        <v/>
      </c>
    </row>
    <row r="967">
      <c r="A967" s="7" t="n"/>
      <c r="B967" s="6" t="n"/>
      <c r="C967" s="6" t="n"/>
      <c r="D967" s="6">
        <f>IF(C967="","",IFERROR(VLOOKUP(C967,Lists!$C:$D,2,FALSE),""))</f>
        <v/>
      </c>
      <c r="E967" s="6" t="n"/>
      <c r="F967" s="6" t="n"/>
      <c r="G967" s="7">
        <f>IF(A967="","",A967+(7-WEEKDAY(A967,2)))</f>
        <v/>
      </c>
      <c r="H967" s="6">
        <f>IF(OR(A967="",B967=""),"",SUMIFS($E$2:$E$1001,$A$2:$A$1001,A967,$B$2:$B$1001,B967))</f>
        <v/>
      </c>
    </row>
    <row r="968">
      <c r="A968" s="7" t="n"/>
      <c r="B968" s="6" t="n"/>
      <c r="C968" s="6" t="n"/>
      <c r="D968" s="6">
        <f>IF(C968="","",IFERROR(VLOOKUP(C968,Lists!$C:$D,2,FALSE),""))</f>
        <v/>
      </c>
      <c r="E968" s="6" t="n"/>
      <c r="F968" s="6" t="n"/>
      <c r="G968" s="7">
        <f>IF(A968="","",A968+(7-WEEKDAY(A968,2)))</f>
        <v/>
      </c>
      <c r="H968" s="6">
        <f>IF(OR(A968="",B968=""),"",SUMIFS($E$2:$E$1001,$A$2:$A$1001,A968,$B$2:$B$1001,B968))</f>
        <v/>
      </c>
    </row>
    <row r="969">
      <c r="A969" s="7" t="n"/>
      <c r="B969" s="6" t="n"/>
      <c r="C969" s="6" t="n"/>
      <c r="D969" s="6">
        <f>IF(C969="","",IFERROR(VLOOKUP(C969,Lists!$C:$D,2,FALSE),""))</f>
        <v/>
      </c>
      <c r="E969" s="6" t="n"/>
      <c r="F969" s="6" t="n"/>
      <c r="G969" s="7">
        <f>IF(A969="","",A969+(7-WEEKDAY(A969,2)))</f>
        <v/>
      </c>
      <c r="H969" s="6">
        <f>IF(OR(A969="",B969=""),"",SUMIFS($E$2:$E$1001,$A$2:$A$1001,A969,$B$2:$B$1001,B969))</f>
        <v/>
      </c>
    </row>
    <row r="970">
      <c r="A970" s="7" t="n"/>
      <c r="B970" s="6" t="n"/>
      <c r="C970" s="6" t="n"/>
      <c r="D970" s="6">
        <f>IF(C970="","",IFERROR(VLOOKUP(C970,Lists!$C:$D,2,FALSE),""))</f>
        <v/>
      </c>
      <c r="E970" s="6" t="n"/>
      <c r="F970" s="6" t="n"/>
      <c r="G970" s="7">
        <f>IF(A970="","",A970+(7-WEEKDAY(A970,2)))</f>
        <v/>
      </c>
      <c r="H970" s="6">
        <f>IF(OR(A970="",B970=""),"",SUMIFS($E$2:$E$1001,$A$2:$A$1001,A970,$B$2:$B$1001,B970))</f>
        <v/>
      </c>
    </row>
    <row r="971">
      <c r="A971" s="7" t="n"/>
      <c r="B971" s="6" t="n"/>
      <c r="C971" s="6" t="n"/>
      <c r="D971" s="6">
        <f>IF(C971="","",IFERROR(VLOOKUP(C971,Lists!$C:$D,2,FALSE),""))</f>
        <v/>
      </c>
      <c r="E971" s="6" t="n"/>
      <c r="F971" s="6" t="n"/>
      <c r="G971" s="7">
        <f>IF(A971="","",A971+(7-WEEKDAY(A971,2)))</f>
        <v/>
      </c>
      <c r="H971" s="6">
        <f>IF(OR(A971="",B971=""),"",SUMIFS($E$2:$E$1001,$A$2:$A$1001,A971,$B$2:$B$1001,B971))</f>
        <v/>
      </c>
    </row>
    <row r="972">
      <c r="A972" s="7" t="n"/>
      <c r="B972" s="6" t="n"/>
      <c r="C972" s="6" t="n"/>
      <c r="D972" s="6">
        <f>IF(C972="","",IFERROR(VLOOKUP(C972,Lists!$C:$D,2,FALSE),""))</f>
        <v/>
      </c>
      <c r="E972" s="6" t="n"/>
      <c r="F972" s="6" t="n"/>
      <c r="G972" s="7">
        <f>IF(A972="","",A972+(7-WEEKDAY(A972,2)))</f>
        <v/>
      </c>
      <c r="H972" s="6">
        <f>IF(OR(A972="",B972=""),"",SUMIFS($E$2:$E$1001,$A$2:$A$1001,A972,$B$2:$B$1001,B972))</f>
        <v/>
      </c>
    </row>
    <row r="973">
      <c r="A973" s="7" t="n"/>
      <c r="B973" s="6" t="n"/>
      <c r="C973" s="6" t="n"/>
      <c r="D973" s="6">
        <f>IF(C973="","",IFERROR(VLOOKUP(C973,Lists!$C:$D,2,FALSE),""))</f>
        <v/>
      </c>
      <c r="E973" s="6" t="n"/>
      <c r="F973" s="6" t="n"/>
      <c r="G973" s="7">
        <f>IF(A973="","",A973+(7-WEEKDAY(A973,2)))</f>
        <v/>
      </c>
      <c r="H973" s="6">
        <f>IF(OR(A973="",B973=""),"",SUMIFS($E$2:$E$1001,$A$2:$A$1001,A973,$B$2:$B$1001,B973))</f>
        <v/>
      </c>
    </row>
    <row r="974">
      <c r="A974" s="7" t="n"/>
      <c r="B974" s="6" t="n"/>
      <c r="C974" s="6" t="n"/>
      <c r="D974" s="6">
        <f>IF(C974="","",IFERROR(VLOOKUP(C974,Lists!$C:$D,2,FALSE),""))</f>
        <v/>
      </c>
      <c r="E974" s="6" t="n"/>
      <c r="F974" s="6" t="n"/>
      <c r="G974" s="7">
        <f>IF(A974="","",A974+(7-WEEKDAY(A974,2)))</f>
        <v/>
      </c>
      <c r="H974" s="6">
        <f>IF(OR(A974="",B974=""),"",SUMIFS($E$2:$E$1001,$A$2:$A$1001,A974,$B$2:$B$1001,B974))</f>
        <v/>
      </c>
    </row>
    <row r="975">
      <c r="A975" s="7" t="n"/>
      <c r="B975" s="6" t="n"/>
      <c r="C975" s="6" t="n"/>
      <c r="D975" s="6">
        <f>IF(C975="","",IFERROR(VLOOKUP(C975,Lists!$C:$D,2,FALSE),""))</f>
        <v/>
      </c>
      <c r="E975" s="6" t="n"/>
      <c r="F975" s="6" t="n"/>
      <c r="G975" s="7">
        <f>IF(A975="","",A975+(7-WEEKDAY(A975,2)))</f>
        <v/>
      </c>
      <c r="H975" s="6">
        <f>IF(OR(A975="",B975=""),"",SUMIFS($E$2:$E$1001,$A$2:$A$1001,A975,$B$2:$B$1001,B975))</f>
        <v/>
      </c>
    </row>
    <row r="976">
      <c r="A976" s="7" t="n"/>
      <c r="B976" s="6" t="n"/>
      <c r="C976" s="6" t="n"/>
      <c r="D976" s="6">
        <f>IF(C976="","",IFERROR(VLOOKUP(C976,Lists!$C:$D,2,FALSE),""))</f>
        <v/>
      </c>
      <c r="E976" s="6" t="n"/>
      <c r="F976" s="6" t="n"/>
      <c r="G976" s="7">
        <f>IF(A976="","",A976+(7-WEEKDAY(A976,2)))</f>
        <v/>
      </c>
      <c r="H976" s="6">
        <f>IF(OR(A976="",B976=""),"",SUMIFS($E$2:$E$1001,$A$2:$A$1001,A976,$B$2:$B$1001,B976))</f>
        <v/>
      </c>
    </row>
    <row r="977">
      <c r="A977" s="7" t="n"/>
      <c r="B977" s="6" t="n"/>
      <c r="C977" s="6" t="n"/>
      <c r="D977" s="6">
        <f>IF(C977="","",IFERROR(VLOOKUP(C977,Lists!$C:$D,2,FALSE),""))</f>
        <v/>
      </c>
      <c r="E977" s="6" t="n"/>
      <c r="F977" s="6" t="n"/>
      <c r="G977" s="7">
        <f>IF(A977="","",A977+(7-WEEKDAY(A977,2)))</f>
        <v/>
      </c>
      <c r="H977" s="6">
        <f>IF(OR(A977="",B977=""),"",SUMIFS($E$2:$E$1001,$A$2:$A$1001,A977,$B$2:$B$1001,B977))</f>
        <v/>
      </c>
    </row>
    <row r="978">
      <c r="A978" s="7" t="n"/>
      <c r="B978" s="6" t="n"/>
      <c r="C978" s="6" t="n"/>
      <c r="D978" s="6">
        <f>IF(C978="","",IFERROR(VLOOKUP(C978,Lists!$C:$D,2,FALSE),""))</f>
        <v/>
      </c>
      <c r="E978" s="6" t="n"/>
      <c r="F978" s="6" t="n"/>
      <c r="G978" s="7">
        <f>IF(A978="","",A978+(7-WEEKDAY(A978,2)))</f>
        <v/>
      </c>
      <c r="H978" s="6">
        <f>IF(OR(A978="",B978=""),"",SUMIFS($E$2:$E$1001,$A$2:$A$1001,A978,$B$2:$B$1001,B978))</f>
        <v/>
      </c>
    </row>
    <row r="979">
      <c r="A979" s="7" t="n"/>
      <c r="B979" s="6" t="n"/>
      <c r="C979" s="6" t="n"/>
      <c r="D979" s="6">
        <f>IF(C979="","",IFERROR(VLOOKUP(C979,Lists!$C:$D,2,FALSE),""))</f>
        <v/>
      </c>
      <c r="E979" s="6" t="n"/>
      <c r="F979" s="6" t="n"/>
      <c r="G979" s="7">
        <f>IF(A979="","",A979+(7-WEEKDAY(A979,2)))</f>
        <v/>
      </c>
      <c r="H979" s="6">
        <f>IF(OR(A979="",B979=""),"",SUMIFS($E$2:$E$1001,$A$2:$A$1001,A979,$B$2:$B$1001,B979))</f>
        <v/>
      </c>
    </row>
    <row r="980">
      <c r="A980" s="7" t="n"/>
      <c r="B980" s="6" t="n"/>
      <c r="C980" s="6" t="n"/>
      <c r="D980" s="6">
        <f>IF(C980="","",IFERROR(VLOOKUP(C980,Lists!$C:$D,2,FALSE),""))</f>
        <v/>
      </c>
      <c r="E980" s="6" t="n"/>
      <c r="F980" s="6" t="n"/>
      <c r="G980" s="7">
        <f>IF(A980="","",A980+(7-WEEKDAY(A980,2)))</f>
        <v/>
      </c>
      <c r="H980" s="6">
        <f>IF(OR(A980="",B980=""),"",SUMIFS($E$2:$E$1001,$A$2:$A$1001,A980,$B$2:$B$1001,B980))</f>
        <v/>
      </c>
    </row>
    <row r="981">
      <c r="A981" s="7" t="n"/>
      <c r="B981" s="6" t="n"/>
      <c r="C981" s="6" t="n"/>
      <c r="D981" s="6">
        <f>IF(C981="","",IFERROR(VLOOKUP(C981,Lists!$C:$D,2,FALSE),""))</f>
        <v/>
      </c>
      <c r="E981" s="6" t="n"/>
      <c r="F981" s="6" t="n"/>
      <c r="G981" s="7">
        <f>IF(A981="","",A981+(7-WEEKDAY(A981,2)))</f>
        <v/>
      </c>
      <c r="H981" s="6">
        <f>IF(OR(A981="",B981=""),"",SUMIFS($E$2:$E$1001,$A$2:$A$1001,A981,$B$2:$B$1001,B981))</f>
        <v/>
      </c>
    </row>
    <row r="982">
      <c r="A982" s="7" t="n"/>
      <c r="B982" s="6" t="n"/>
      <c r="C982" s="6" t="n"/>
      <c r="D982" s="6">
        <f>IF(C982="","",IFERROR(VLOOKUP(C982,Lists!$C:$D,2,FALSE),""))</f>
        <v/>
      </c>
      <c r="E982" s="6" t="n"/>
      <c r="F982" s="6" t="n"/>
      <c r="G982" s="7">
        <f>IF(A982="","",A982+(7-WEEKDAY(A982,2)))</f>
        <v/>
      </c>
      <c r="H982" s="6">
        <f>IF(OR(A982="",B982=""),"",SUMIFS($E$2:$E$1001,$A$2:$A$1001,A982,$B$2:$B$1001,B982))</f>
        <v/>
      </c>
    </row>
    <row r="983">
      <c r="A983" s="7" t="n"/>
      <c r="B983" s="6" t="n"/>
      <c r="C983" s="6" t="n"/>
      <c r="D983" s="6">
        <f>IF(C983="","",IFERROR(VLOOKUP(C983,Lists!$C:$D,2,FALSE),""))</f>
        <v/>
      </c>
      <c r="E983" s="6" t="n"/>
      <c r="F983" s="6" t="n"/>
      <c r="G983" s="7">
        <f>IF(A983="","",A983+(7-WEEKDAY(A983,2)))</f>
        <v/>
      </c>
      <c r="H983" s="6">
        <f>IF(OR(A983="",B983=""),"",SUMIFS($E$2:$E$1001,$A$2:$A$1001,A983,$B$2:$B$1001,B983))</f>
        <v/>
      </c>
    </row>
    <row r="984">
      <c r="A984" s="7" t="n"/>
      <c r="B984" s="6" t="n"/>
      <c r="C984" s="6" t="n"/>
      <c r="D984" s="6">
        <f>IF(C984="","",IFERROR(VLOOKUP(C984,Lists!$C:$D,2,FALSE),""))</f>
        <v/>
      </c>
      <c r="E984" s="6" t="n"/>
      <c r="F984" s="6" t="n"/>
      <c r="G984" s="7">
        <f>IF(A984="","",A984+(7-WEEKDAY(A984,2)))</f>
        <v/>
      </c>
      <c r="H984" s="6">
        <f>IF(OR(A984="",B984=""),"",SUMIFS($E$2:$E$1001,$A$2:$A$1001,A984,$B$2:$B$1001,B984))</f>
        <v/>
      </c>
    </row>
    <row r="985">
      <c r="A985" s="7" t="n"/>
      <c r="B985" s="6" t="n"/>
      <c r="C985" s="6" t="n"/>
      <c r="D985" s="6">
        <f>IF(C985="","",IFERROR(VLOOKUP(C985,Lists!$C:$D,2,FALSE),""))</f>
        <v/>
      </c>
      <c r="E985" s="6" t="n"/>
      <c r="F985" s="6" t="n"/>
      <c r="G985" s="7">
        <f>IF(A985="","",A985+(7-WEEKDAY(A985,2)))</f>
        <v/>
      </c>
      <c r="H985" s="6">
        <f>IF(OR(A985="",B985=""),"",SUMIFS($E$2:$E$1001,$A$2:$A$1001,A985,$B$2:$B$1001,B985))</f>
        <v/>
      </c>
    </row>
    <row r="986">
      <c r="A986" s="7" t="n"/>
      <c r="B986" s="6" t="n"/>
      <c r="C986" s="6" t="n"/>
      <c r="D986" s="6">
        <f>IF(C986="","",IFERROR(VLOOKUP(C986,Lists!$C:$D,2,FALSE),""))</f>
        <v/>
      </c>
      <c r="E986" s="6" t="n"/>
      <c r="F986" s="6" t="n"/>
      <c r="G986" s="7">
        <f>IF(A986="","",A986+(7-WEEKDAY(A986,2)))</f>
        <v/>
      </c>
      <c r="H986" s="6">
        <f>IF(OR(A986="",B986=""),"",SUMIFS($E$2:$E$1001,$A$2:$A$1001,A986,$B$2:$B$1001,B986))</f>
        <v/>
      </c>
    </row>
    <row r="987">
      <c r="A987" s="7" t="n"/>
      <c r="B987" s="6" t="n"/>
      <c r="C987" s="6" t="n"/>
      <c r="D987" s="6">
        <f>IF(C987="","",IFERROR(VLOOKUP(C987,Lists!$C:$D,2,FALSE),""))</f>
        <v/>
      </c>
      <c r="E987" s="6" t="n"/>
      <c r="F987" s="6" t="n"/>
      <c r="G987" s="7">
        <f>IF(A987="","",A987+(7-WEEKDAY(A987,2)))</f>
        <v/>
      </c>
      <c r="H987" s="6">
        <f>IF(OR(A987="",B987=""),"",SUMIFS($E$2:$E$1001,$A$2:$A$1001,A987,$B$2:$B$1001,B987))</f>
        <v/>
      </c>
    </row>
    <row r="988">
      <c r="A988" s="7" t="n"/>
      <c r="B988" s="6" t="n"/>
      <c r="C988" s="6" t="n"/>
      <c r="D988" s="6">
        <f>IF(C988="","",IFERROR(VLOOKUP(C988,Lists!$C:$D,2,FALSE),""))</f>
        <v/>
      </c>
      <c r="E988" s="6" t="n"/>
      <c r="F988" s="6" t="n"/>
      <c r="G988" s="7">
        <f>IF(A988="","",A988+(7-WEEKDAY(A988,2)))</f>
        <v/>
      </c>
      <c r="H988" s="6">
        <f>IF(OR(A988="",B988=""),"",SUMIFS($E$2:$E$1001,$A$2:$A$1001,A988,$B$2:$B$1001,B988))</f>
        <v/>
      </c>
    </row>
    <row r="989">
      <c r="A989" s="7" t="n"/>
      <c r="B989" s="6" t="n"/>
      <c r="C989" s="6" t="n"/>
      <c r="D989" s="6">
        <f>IF(C989="","",IFERROR(VLOOKUP(C989,Lists!$C:$D,2,FALSE),""))</f>
        <v/>
      </c>
      <c r="E989" s="6" t="n"/>
      <c r="F989" s="6" t="n"/>
      <c r="G989" s="7">
        <f>IF(A989="","",A989+(7-WEEKDAY(A989,2)))</f>
        <v/>
      </c>
      <c r="H989" s="6">
        <f>IF(OR(A989="",B989=""),"",SUMIFS($E$2:$E$1001,$A$2:$A$1001,A989,$B$2:$B$1001,B989))</f>
        <v/>
      </c>
    </row>
    <row r="990">
      <c r="A990" s="7" t="n"/>
      <c r="B990" s="6" t="n"/>
      <c r="C990" s="6" t="n"/>
      <c r="D990" s="6">
        <f>IF(C990="","",IFERROR(VLOOKUP(C990,Lists!$C:$D,2,FALSE),""))</f>
        <v/>
      </c>
      <c r="E990" s="6" t="n"/>
      <c r="F990" s="6" t="n"/>
      <c r="G990" s="7">
        <f>IF(A990="","",A990+(7-WEEKDAY(A990,2)))</f>
        <v/>
      </c>
      <c r="H990" s="6">
        <f>IF(OR(A990="",B990=""),"",SUMIFS($E$2:$E$1001,$A$2:$A$1001,A990,$B$2:$B$1001,B990))</f>
        <v/>
      </c>
    </row>
    <row r="991">
      <c r="A991" s="7" t="n"/>
      <c r="B991" s="6" t="n"/>
      <c r="C991" s="6" t="n"/>
      <c r="D991" s="6">
        <f>IF(C991="","",IFERROR(VLOOKUP(C991,Lists!$C:$D,2,FALSE),""))</f>
        <v/>
      </c>
      <c r="E991" s="6" t="n"/>
      <c r="F991" s="6" t="n"/>
      <c r="G991" s="7">
        <f>IF(A991="","",A991+(7-WEEKDAY(A991,2)))</f>
        <v/>
      </c>
      <c r="H991" s="6">
        <f>IF(OR(A991="",B991=""),"",SUMIFS($E$2:$E$1001,$A$2:$A$1001,A991,$B$2:$B$1001,B991))</f>
        <v/>
      </c>
    </row>
    <row r="992">
      <c r="A992" s="7" t="n"/>
      <c r="B992" s="6" t="n"/>
      <c r="C992" s="6" t="n"/>
      <c r="D992" s="6">
        <f>IF(C992="","",IFERROR(VLOOKUP(C992,Lists!$C:$D,2,FALSE),""))</f>
        <v/>
      </c>
      <c r="E992" s="6" t="n"/>
      <c r="F992" s="6" t="n"/>
      <c r="G992" s="7">
        <f>IF(A992="","",A992+(7-WEEKDAY(A992,2)))</f>
        <v/>
      </c>
      <c r="H992" s="6">
        <f>IF(OR(A992="",B992=""),"",SUMIFS($E$2:$E$1001,$A$2:$A$1001,A992,$B$2:$B$1001,B992))</f>
        <v/>
      </c>
    </row>
    <row r="993">
      <c r="A993" s="7" t="n"/>
      <c r="B993" s="6" t="n"/>
      <c r="C993" s="6" t="n"/>
      <c r="D993" s="6">
        <f>IF(C993="","",IFERROR(VLOOKUP(C993,Lists!$C:$D,2,FALSE),""))</f>
        <v/>
      </c>
      <c r="E993" s="6" t="n"/>
      <c r="F993" s="6" t="n"/>
      <c r="G993" s="7">
        <f>IF(A993="","",A993+(7-WEEKDAY(A993,2)))</f>
        <v/>
      </c>
      <c r="H993" s="6">
        <f>IF(OR(A993="",B993=""),"",SUMIFS($E$2:$E$1001,$A$2:$A$1001,A993,$B$2:$B$1001,B993))</f>
        <v/>
      </c>
    </row>
    <row r="994">
      <c r="A994" s="7" t="n"/>
      <c r="B994" s="6" t="n"/>
      <c r="C994" s="6" t="n"/>
      <c r="D994" s="6">
        <f>IF(C994="","",IFERROR(VLOOKUP(C994,Lists!$C:$D,2,FALSE),""))</f>
        <v/>
      </c>
      <c r="E994" s="6" t="n"/>
      <c r="F994" s="6" t="n"/>
      <c r="G994" s="7">
        <f>IF(A994="","",A994+(7-WEEKDAY(A994,2)))</f>
        <v/>
      </c>
      <c r="H994" s="6">
        <f>IF(OR(A994="",B994=""),"",SUMIFS($E$2:$E$1001,$A$2:$A$1001,A994,$B$2:$B$1001,B994))</f>
        <v/>
      </c>
    </row>
    <row r="995">
      <c r="A995" s="7" t="n"/>
      <c r="B995" s="6" t="n"/>
      <c r="C995" s="6" t="n"/>
      <c r="D995" s="6">
        <f>IF(C995="","",IFERROR(VLOOKUP(C995,Lists!$C:$D,2,FALSE),""))</f>
        <v/>
      </c>
      <c r="E995" s="6" t="n"/>
      <c r="F995" s="6" t="n"/>
      <c r="G995" s="7">
        <f>IF(A995="","",A995+(7-WEEKDAY(A995,2)))</f>
        <v/>
      </c>
      <c r="H995" s="6">
        <f>IF(OR(A995="",B995=""),"",SUMIFS($E$2:$E$1001,$A$2:$A$1001,A995,$B$2:$B$1001,B995))</f>
        <v/>
      </c>
    </row>
    <row r="996">
      <c r="A996" s="7" t="n"/>
      <c r="B996" s="6" t="n"/>
      <c r="C996" s="6" t="n"/>
      <c r="D996" s="6">
        <f>IF(C996="","",IFERROR(VLOOKUP(C996,Lists!$C:$D,2,FALSE),""))</f>
        <v/>
      </c>
      <c r="E996" s="6" t="n"/>
      <c r="F996" s="6" t="n"/>
      <c r="G996" s="7">
        <f>IF(A996="","",A996+(7-WEEKDAY(A996,2)))</f>
        <v/>
      </c>
      <c r="H996" s="6">
        <f>IF(OR(A996="",B996=""),"",SUMIFS($E$2:$E$1001,$A$2:$A$1001,A996,$B$2:$B$1001,B996))</f>
        <v/>
      </c>
    </row>
    <row r="997">
      <c r="A997" s="7" t="n"/>
      <c r="B997" s="6" t="n"/>
      <c r="C997" s="6" t="n"/>
      <c r="D997" s="6">
        <f>IF(C997="","",IFERROR(VLOOKUP(C997,Lists!$C:$D,2,FALSE),""))</f>
        <v/>
      </c>
      <c r="E997" s="6" t="n"/>
      <c r="F997" s="6" t="n"/>
      <c r="G997" s="7">
        <f>IF(A997="","",A997+(7-WEEKDAY(A997,2)))</f>
        <v/>
      </c>
      <c r="H997" s="6">
        <f>IF(OR(A997="",B997=""),"",SUMIFS($E$2:$E$1001,$A$2:$A$1001,A997,$B$2:$B$1001,B997))</f>
        <v/>
      </c>
    </row>
    <row r="998">
      <c r="A998" s="7" t="n"/>
      <c r="B998" s="6" t="n"/>
      <c r="C998" s="6" t="n"/>
      <c r="D998" s="6">
        <f>IF(C998="","",IFERROR(VLOOKUP(C998,Lists!$C:$D,2,FALSE),""))</f>
        <v/>
      </c>
      <c r="E998" s="6" t="n"/>
      <c r="F998" s="6" t="n"/>
      <c r="G998" s="7">
        <f>IF(A998="","",A998+(7-WEEKDAY(A998,2)))</f>
        <v/>
      </c>
      <c r="H998" s="6">
        <f>IF(OR(A998="",B998=""),"",SUMIFS($E$2:$E$1001,$A$2:$A$1001,A998,$B$2:$B$1001,B998))</f>
        <v/>
      </c>
    </row>
    <row r="999">
      <c r="A999" s="7" t="n"/>
      <c r="B999" s="6" t="n"/>
      <c r="C999" s="6" t="n"/>
      <c r="D999" s="6">
        <f>IF(C999="","",IFERROR(VLOOKUP(C999,Lists!$C:$D,2,FALSE),""))</f>
        <v/>
      </c>
      <c r="E999" s="6" t="n"/>
      <c r="F999" s="6" t="n"/>
      <c r="G999" s="7">
        <f>IF(A999="","",A999+(7-WEEKDAY(A999,2)))</f>
        <v/>
      </c>
      <c r="H999" s="6">
        <f>IF(OR(A999="",B999=""),"",SUMIFS($E$2:$E$1001,$A$2:$A$1001,A999,$B$2:$B$1001,B999))</f>
        <v/>
      </c>
    </row>
    <row r="1000">
      <c r="A1000" s="7" t="n"/>
      <c r="B1000" s="6" t="n"/>
      <c r="C1000" s="6" t="n"/>
      <c r="D1000" s="6">
        <f>IF(C1000="","",IFERROR(VLOOKUP(C1000,Lists!$C:$D,2,FALSE),""))</f>
        <v/>
      </c>
      <c r="E1000" s="6" t="n"/>
      <c r="F1000" s="6" t="n"/>
      <c r="G1000" s="7">
        <f>IF(A1000="","",A1000+(7-WEEKDAY(A1000,2)))</f>
        <v/>
      </c>
      <c r="H1000" s="6">
        <f>IF(OR(A1000="",B1000=""),"",SUMIFS($E$2:$E$1001,$A$2:$A$1001,A1000,$B$2:$B$1001,B1000))</f>
        <v/>
      </c>
    </row>
    <row r="1001">
      <c r="A1001" s="7" t="n"/>
      <c r="B1001" s="6" t="n"/>
      <c r="C1001" s="6" t="n"/>
      <c r="D1001" s="6">
        <f>IF(C1001="","",IFERROR(VLOOKUP(C1001,Lists!$C:$D,2,FALSE),""))</f>
        <v/>
      </c>
      <c r="E1001" s="6" t="n"/>
      <c r="F1001" s="6" t="n"/>
      <c r="G1001" s="7">
        <f>IF(A1001="","",A1001+(7-WEEKDAY(A1001,2)))</f>
        <v/>
      </c>
      <c r="H1001" s="6">
        <f>IF(OR(A1001="",B1001=""),"",SUMIFS($E$2:$E$1001,$A$2:$A$1001,A1001,$B$2:$B$1001,B1001))</f>
        <v/>
      </c>
    </row>
  </sheetData>
  <conditionalFormatting sqref="H2:H1001">
    <cfRule type="expression" priority="1" dxfId="0">
      <formula>AND(H2&lt;&gt;"",H2=7.5)</formula>
    </cfRule>
    <cfRule type="expression" priority="2" dxfId="1">
      <formula>AND(H2&lt;&gt;"",H2&gt;7.5)</formula>
    </cfRule>
    <cfRule type="expression" priority="3" dxfId="2">
      <formula>AND(H2&lt;&gt;"",H2&gt;0,H2&lt;7.5)</formula>
    </cfRule>
  </conditionalFormatting>
  <conditionalFormatting sqref="A2:F1001">
    <cfRule type="expression" priority="4" dxfId="3">
      <formula>$D2="Leave"</formula>
    </cfRule>
  </conditionalFormatting>
  <dataValidations count="3">
    <dataValidation sqref="B2:B1001" showDropDown="0" showInputMessage="0" showErrorMessage="0" allowBlank="1" errorTitle="Invalid staff name" error="Please pick a name from the list (add new names on the Lists tab)." type="list">
      <formula1>=StaffList</formula1>
    </dataValidation>
    <dataValidation sqref="C2:C1001" showDropDown="0" showInputMessage="0" showErrorMessage="0" allowBlank="1" errorTitle="Invalid allocation" error="Please pick a project or leave type from the list (add new ones on the Lists tab)." type="list">
      <formula1>=AllocationList</formula1>
    </dataValidation>
    <dataValidation sqref="E2:E1001" showDropDown="0" showInputMessage="0" showErrorMessage="0" allowBlank="1" errorTitle="Invalid hours" error="Enter hours between 0 and 7.5 for a single row." type="decimal" operator="between">
      <formula1>0</formula1>
      <formula2>7.5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4" t="inlineStr">
        <is>
          <t>Week Ending</t>
        </is>
      </c>
      <c r="B1" s="4">
        <f>Lists!$A$2</f>
        <v/>
      </c>
      <c r="C1" s="4">
        <f>Lists!$A$3</f>
        <v/>
      </c>
      <c r="D1" s="4">
        <f>Lists!$A$4</f>
        <v/>
      </c>
      <c r="E1" s="4">
        <f>Lists!$A$5</f>
        <v/>
      </c>
      <c r="F1" s="4" t="inlineStr">
        <is>
          <t>Total Hours</t>
        </is>
      </c>
      <c r="G1" s="4" t="inlineStr">
        <is>
          <t>Target Hours</t>
        </is>
      </c>
      <c r="H1" s="4" t="inlineStr">
        <is>
          <t>Variance</t>
        </is>
      </c>
    </row>
    <row r="2">
      <c r="A2" s="7">
        <f>TODAY()-WEEKDAY(TODAY(),3)+6</f>
        <v/>
      </c>
      <c r="B2" s="6">
        <f>IF($B$1="","",SUMIFS(Timesheet!$E:$E,Timesheet!$B:$B,B$1,Timesheet!$G:$G,$A2))</f>
        <v/>
      </c>
      <c r="C2" s="6">
        <f>IF($C$1="","",SUMIFS(Timesheet!$E:$E,Timesheet!$B:$B,C$1,Timesheet!$G:$G,$A2))</f>
        <v/>
      </c>
      <c r="D2" s="6">
        <f>IF($D$1="","",SUMIFS(Timesheet!$E:$E,Timesheet!$B:$B,D$1,Timesheet!$G:$G,$A2))</f>
        <v/>
      </c>
      <c r="E2" s="6">
        <f>IF($E$1="","",SUMIFS(Timesheet!$E:$E,Timesheet!$B:$B,E$1,Timesheet!$G:$G,$A2))</f>
        <v/>
      </c>
      <c r="F2" s="6">
        <f>SUM(B2:E2)</f>
        <v/>
      </c>
      <c r="G2" s="6">
        <f>COUNTA(StaffList)*7.5*5</f>
        <v/>
      </c>
      <c r="H2" s="6">
        <f>F2-G2</f>
        <v/>
      </c>
    </row>
    <row r="3">
      <c r="A3" s="7">
        <f>A2+7</f>
        <v/>
      </c>
      <c r="B3" s="6">
        <f>IF($B$1="","",SUMIFS(Timesheet!$E:$E,Timesheet!$B:$B,B$1,Timesheet!$G:$G,$A3))</f>
        <v/>
      </c>
      <c r="C3" s="6">
        <f>IF($C$1="","",SUMIFS(Timesheet!$E:$E,Timesheet!$B:$B,C$1,Timesheet!$G:$G,$A3))</f>
        <v/>
      </c>
      <c r="D3" s="6">
        <f>IF($D$1="","",SUMIFS(Timesheet!$E:$E,Timesheet!$B:$B,D$1,Timesheet!$G:$G,$A3))</f>
        <v/>
      </c>
      <c r="E3" s="6">
        <f>IF($E$1="","",SUMIFS(Timesheet!$E:$E,Timesheet!$B:$B,E$1,Timesheet!$G:$G,$A3))</f>
        <v/>
      </c>
      <c r="F3" s="6">
        <f>SUM(B3:E3)</f>
        <v/>
      </c>
      <c r="G3" s="6">
        <f>COUNTA(StaffList)*7.5*5</f>
        <v/>
      </c>
      <c r="H3" s="6">
        <f>F3-G3</f>
        <v/>
      </c>
    </row>
    <row r="4">
      <c r="A4" s="7">
        <f>A3+7</f>
        <v/>
      </c>
      <c r="B4" s="6">
        <f>IF($B$1="","",SUMIFS(Timesheet!$E:$E,Timesheet!$B:$B,B$1,Timesheet!$G:$G,$A4))</f>
        <v/>
      </c>
      <c r="C4" s="6">
        <f>IF($C$1="","",SUMIFS(Timesheet!$E:$E,Timesheet!$B:$B,C$1,Timesheet!$G:$G,$A4))</f>
        <v/>
      </c>
      <c r="D4" s="6">
        <f>IF($D$1="","",SUMIFS(Timesheet!$E:$E,Timesheet!$B:$B,D$1,Timesheet!$G:$G,$A4))</f>
        <v/>
      </c>
      <c r="E4" s="6">
        <f>IF($E$1="","",SUMIFS(Timesheet!$E:$E,Timesheet!$B:$B,E$1,Timesheet!$G:$G,$A4))</f>
        <v/>
      </c>
      <c r="F4" s="6">
        <f>SUM(B4:E4)</f>
        <v/>
      </c>
      <c r="G4" s="6">
        <f>COUNTA(StaffList)*7.5*5</f>
        <v/>
      </c>
      <c r="H4" s="6">
        <f>F4-G4</f>
        <v/>
      </c>
    </row>
    <row r="5">
      <c r="A5" s="7">
        <f>A4+7</f>
        <v/>
      </c>
      <c r="B5" s="6">
        <f>IF($B$1="","",SUMIFS(Timesheet!$E:$E,Timesheet!$B:$B,B$1,Timesheet!$G:$G,$A5))</f>
        <v/>
      </c>
      <c r="C5" s="6">
        <f>IF($C$1="","",SUMIFS(Timesheet!$E:$E,Timesheet!$B:$B,C$1,Timesheet!$G:$G,$A5))</f>
        <v/>
      </c>
      <c r="D5" s="6">
        <f>IF($D$1="","",SUMIFS(Timesheet!$E:$E,Timesheet!$B:$B,D$1,Timesheet!$G:$G,$A5))</f>
        <v/>
      </c>
      <c r="E5" s="6">
        <f>IF($E$1="","",SUMIFS(Timesheet!$E:$E,Timesheet!$B:$B,E$1,Timesheet!$G:$G,$A5))</f>
        <v/>
      </c>
      <c r="F5" s="6">
        <f>SUM(B5:E5)</f>
        <v/>
      </c>
      <c r="G5" s="6">
        <f>COUNTA(StaffList)*7.5*5</f>
        <v/>
      </c>
      <c r="H5" s="6">
        <f>F5-G5</f>
        <v/>
      </c>
    </row>
    <row r="6">
      <c r="A6" s="7">
        <f>A5+7</f>
        <v/>
      </c>
      <c r="B6" s="6">
        <f>IF($B$1="","",SUMIFS(Timesheet!$E:$E,Timesheet!$B:$B,B$1,Timesheet!$G:$G,$A6))</f>
        <v/>
      </c>
      <c r="C6" s="6">
        <f>IF($C$1="","",SUMIFS(Timesheet!$E:$E,Timesheet!$B:$B,C$1,Timesheet!$G:$G,$A6))</f>
        <v/>
      </c>
      <c r="D6" s="6">
        <f>IF($D$1="","",SUMIFS(Timesheet!$E:$E,Timesheet!$B:$B,D$1,Timesheet!$G:$G,$A6))</f>
        <v/>
      </c>
      <c r="E6" s="6">
        <f>IF($E$1="","",SUMIFS(Timesheet!$E:$E,Timesheet!$B:$B,E$1,Timesheet!$G:$G,$A6))</f>
        <v/>
      </c>
      <c r="F6" s="6">
        <f>SUM(B6:E6)</f>
        <v/>
      </c>
      <c r="G6" s="6">
        <f>COUNTA(StaffList)*7.5*5</f>
        <v/>
      </c>
      <c r="H6" s="6">
        <f>F6-G6</f>
        <v/>
      </c>
    </row>
    <row r="7">
      <c r="A7" s="7">
        <f>A6+7</f>
        <v/>
      </c>
      <c r="B7" s="6">
        <f>IF($B$1="","",SUMIFS(Timesheet!$E:$E,Timesheet!$B:$B,B$1,Timesheet!$G:$G,$A7))</f>
        <v/>
      </c>
      <c r="C7" s="6">
        <f>IF($C$1="","",SUMIFS(Timesheet!$E:$E,Timesheet!$B:$B,C$1,Timesheet!$G:$G,$A7))</f>
        <v/>
      </c>
      <c r="D7" s="6">
        <f>IF($D$1="","",SUMIFS(Timesheet!$E:$E,Timesheet!$B:$B,D$1,Timesheet!$G:$G,$A7))</f>
        <v/>
      </c>
      <c r="E7" s="6">
        <f>IF($E$1="","",SUMIFS(Timesheet!$E:$E,Timesheet!$B:$B,E$1,Timesheet!$G:$G,$A7))</f>
        <v/>
      </c>
      <c r="F7" s="6">
        <f>SUM(B7:E7)</f>
        <v/>
      </c>
      <c r="G7" s="6">
        <f>COUNTA(StaffList)*7.5*5</f>
        <v/>
      </c>
      <c r="H7" s="6">
        <f>F7-G7</f>
        <v/>
      </c>
    </row>
    <row r="8">
      <c r="A8" s="7">
        <f>A7+7</f>
        <v/>
      </c>
      <c r="B8" s="6">
        <f>IF($B$1="","",SUMIFS(Timesheet!$E:$E,Timesheet!$B:$B,B$1,Timesheet!$G:$G,$A8))</f>
        <v/>
      </c>
      <c r="C8" s="6">
        <f>IF($C$1="","",SUMIFS(Timesheet!$E:$E,Timesheet!$B:$B,C$1,Timesheet!$G:$G,$A8))</f>
        <v/>
      </c>
      <c r="D8" s="6">
        <f>IF($D$1="","",SUMIFS(Timesheet!$E:$E,Timesheet!$B:$B,D$1,Timesheet!$G:$G,$A8))</f>
        <v/>
      </c>
      <c r="E8" s="6">
        <f>IF($E$1="","",SUMIFS(Timesheet!$E:$E,Timesheet!$B:$B,E$1,Timesheet!$G:$G,$A8))</f>
        <v/>
      </c>
      <c r="F8" s="6">
        <f>SUM(B8:E8)</f>
        <v/>
      </c>
      <c r="G8" s="6">
        <f>COUNTA(StaffList)*7.5*5</f>
        <v/>
      </c>
      <c r="H8" s="6">
        <f>F8-G8</f>
        <v/>
      </c>
    </row>
    <row r="9">
      <c r="A9" s="7">
        <f>A8+7</f>
        <v/>
      </c>
      <c r="B9" s="6">
        <f>IF($B$1="","",SUMIFS(Timesheet!$E:$E,Timesheet!$B:$B,B$1,Timesheet!$G:$G,$A9))</f>
        <v/>
      </c>
      <c r="C9" s="6">
        <f>IF($C$1="","",SUMIFS(Timesheet!$E:$E,Timesheet!$B:$B,C$1,Timesheet!$G:$G,$A9))</f>
        <v/>
      </c>
      <c r="D9" s="6">
        <f>IF($D$1="","",SUMIFS(Timesheet!$E:$E,Timesheet!$B:$B,D$1,Timesheet!$G:$G,$A9))</f>
        <v/>
      </c>
      <c r="E9" s="6">
        <f>IF($E$1="","",SUMIFS(Timesheet!$E:$E,Timesheet!$B:$B,E$1,Timesheet!$G:$G,$A9))</f>
        <v/>
      </c>
      <c r="F9" s="6">
        <f>SUM(B9:E9)</f>
        <v/>
      </c>
      <c r="G9" s="6">
        <f>COUNTA(StaffList)*7.5*5</f>
        <v/>
      </c>
      <c r="H9" s="6">
        <f>F9-G9</f>
        <v/>
      </c>
    </row>
    <row r="10">
      <c r="A10" s="7">
        <f>A9+7</f>
        <v/>
      </c>
      <c r="B10" s="6">
        <f>IF($B$1="","",SUMIFS(Timesheet!$E:$E,Timesheet!$B:$B,B$1,Timesheet!$G:$G,$A10))</f>
        <v/>
      </c>
      <c r="C10" s="6">
        <f>IF($C$1="","",SUMIFS(Timesheet!$E:$E,Timesheet!$B:$B,C$1,Timesheet!$G:$G,$A10))</f>
        <v/>
      </c>
      <c r="D10" s="6">
        <f>IF($D$1="","",SUMIFS(Timesheet!$E:$E,Timesheet!$B:$B,D$1,Timesheet!$G:$G,$A10))</f>
        <v/>
      </c>
      <c r="E10" s="6">
        <f>IF($E$1="","",SUMIFS(Timesheet!$E:$E,Timesheet!$B:$B,E$1,Timesheet!$G:$G,$A10))</f>
        <v/>
      </c>
      <c r="F10" s="6">
        <f>SUM(B10:E10)</f>
        <v/>
      </c>
      <c r="G10" s="6">
        <f>COUNTA(StaffList)*7.5*5</f>
        <v/>
      </c>
      <c r="H10" s="6">
        <f>F10-G10</f>
        <v/>
      </c>
    </row>
    <row r="11">
      <c r="A11" s="7">
        <f>A10+7</f>
        <v/>
      </c>
      <c r="B11" s="6">
        <f>IF($B$1="","",SUMIFS(Timesheet!$E:$E,Timesheet!$B:$B,B$1,Timesheet!$G:$G,$A11))</f>
        <v/>
      </c>
      <c r="C11" s="6">
        <f>IF($C$1="","",SUMIFS(Timesheet!$E:$E,Timesheet!$B:$B,C$1,Timesheet!$G:$G,$A11))</f>
        <v/>
      </c>
      <c r="D11" s="6">
        <f>IF($D$1="","",SUMIFS(Timesheet!$E:$E,Timesheet!$B:$B,D$1,Timesheet!$G:$G,$A11))</f>
        <v/>
      </c>
      <c r="E11" s="6">
        <f>IF($E$1="","",SUMIFS(Timesheet!$E:$E,Timesheet!$B:$B,E$1,Timesheet!$G:$G,$A11))</f>
        <v/>
      </c>
      <c r="F11" s="6">
        <f>SUM(B11:E11)</f>
        <v/>
      </c>
      <c r="G11" s="6">
        <f>COUNTA(StaffList)*7.5*5</f>
        <v/>
      </c>
      <c r="H11" s="6">
        <f>F11-G11</f>
        <v/>
      </c>
    </row>
    <row r="12">
      <c r="A12" s="7">
        <f>A11+7</f>
        <v/>
      </c>
      <c r="B12" s="6">
        <f>IF($B$1="","",SUMIFS(Timesheet!$E:$E,Timesheet!$B:$B,B$1,Timesheet!$G:$G,$A12))</f>
        <v/>
      </c>
      <c r="C12" s="6">
        <f>IF($C$1="","",SUMIFS(Timesheet!$E:$E,Timesheet!$B:$B,C$1,Timesheet!$G:$G,$A12))</f>
        <v/>
      </c>
      <c r="D12" s="6">
        <f>IF($D$1="","",SUMIFS(Timesheet!$E:$E,Timesheet!$B:$B,D$1,Timesheet!$G:$G,$A12))</f>
        <v/>
      </c>
      <c r="E12" s="6">
        <f>IF($E$1="","",SUMIFS(Timesheet!$E:$E,Timesheet!$B:$B,E$1,Timesheet!$G:$G,$A12))</f>
        <v/>
      </c>
      <c r="F12" s="6">
        <f>SUM(B12:E12)</f>
        <v/>
      </c>
      <c r="G12" s="6">
        <f>COUNTA(StaffList)*7.5*5</f>
        <v/>
      </c>
      <c r="H12" s="6">
        <f>F12-G12</f>
        <v/>
      </c>
    </row>
    <row r="13">
      <c r="A13" s="7">
        <f>A12+7</f>
        <v/>
      </c>
      <c r="B13" s="6">
        <f>IF($B$1="","",SUMIFS(Timesheet!$E:$E,Timesheet!$B:$B,B$1,Timesheet!$G:$G,$A13))</f>
        <v/>
      </c>
      <c r="C13" s="6">
        <f>IF($C$1="","",SUMIFS(Timesheet!$E:$E,Timesheet!$B:$B,C$1,Timesheet!$G:$G,$A13))</f>
        <v/>
      </c>
      <c r="D13" s="6">
        <f>IF($D$1="","",SUMIFS(Timesheet!$E:$E,Timesheet!$B:$B,D$1,Timesheet!$G:$G,$A13))</f>
        <v/>
      </c>
      <c r="E13" s="6">
        <f>IF($E$1="","",SUMIFS(Timesheet!$E:$E,Timesheet!$B:$B,E$1,Timesheet!$G:$G,$A13))</f>
        <v/>
      </c>
      <c r="F13" s="6">
        <f>SUM(B13:E13)</f>
        <v/>
      </c>
      <c r="G13" s="6">
        <f>COUNTA(StaffList)*7.5*5</f>
        <v/>
      </c>
      <c r="H13" s="6">
        <f>F13-G13</f>
        <v/>
      </c>
    </row>
    <row r="14">
      <c r="A14" s="7">
        <f>A13+7</f>
        <v/>
      </c>
      <c r="B14" s="6">
        <f>IF($B$1="","",SUMIFS(Timesheet!$E:$E,Timesheet!$B:$B,B$1,Timesheet!$G:$G,$A14))</f>
        <v/>
      </c>
      <c r="C14" s="6">
        <f>IF($C$1="","",SUMIFS(Timesheet!$E:$E,Timesheet!$B:$B,C$1,Timesheet!$G:$G,$A14))</f>
        <v/>
      </c>
      <c r="D14" s="6">
        <f>IF($D$1="","",SUMIFS(Timesheet!$E:$E,Timesheet!$B:$B,D$1,Timesheet!$G:$G,$A14))</f>
        <v/>
      </c>
      <c r="E14" s="6">
        <f>IF($E$1="","",SUMIFS(Timesheet!$E:$E,Timesheet!$B:$B,E$1,Timesheet!$G:$G,$A14))</f>
        <v/>
      </c>
      <c r="F14" s="6">
        <f>SUM(B14:E14)</f>
        <v/>
      </c>
      <c r="G14" s="6">
        <f>COUNTA(StaffList)*7.5*5</f>
        <v/>
      </c>
      <c r="H14" s="6">
        <f>F14-G14</f>
        <v/>
      </c>
    </row>
    <row r="15">
      <c r="A15" s="7">
        <f>A14+7</f>
        <v/>
      </c>
      <c r="B15" s="6">
        <f>IF($B$1="","",SUMIFS(Timesheet!$E:$E,Timesheet!$B:$B,B$1,Timesheet!$G:$G,$A15))</f>
        <v/>
      </c>
      <c r="C15" s="6">
        <f>IF($C$1="","",SUMIFS(Timesheet!$E:$E,Timesheet!$B:$B,C$1,Timesheet!$G:$G,$A15))</f>
        <v/>
      </c>
      <c r="D15" s="6">
        <f>IF($D$1="","",SUMIFS(Timesheet!$E:$E,Timesheet!$B:$B,D$1,Timesheet!$G:$G,$A15))</f>
        <v/>
      </c>
      <c r="E15" s="6">
        <f>IF($E$1="","",SUMIFS(Timesheet!$E:$E,Timesheet!$B:$B,E$1,Timesheet!$G:$G,$A15))</f>
        <v/>
      </c>
      <c r="F15" s="6">
        <f>SUM(B15:E15)</f>
        <v/>
      </c>
      <c r="G15" s="6">
        <f>COUNTA(StaffList)*7.5*5</f>
        <v/>
      </c>
      <c r="H15" s="6">
        <f>F15-G15</f>
        <v/>
      </c>
    </row>
    <row r="16">
      <c r="A16" s="7">
        <f>A15+7</f>
        <v/>
      </c>
      <c r="B16" s="6">
        <f>IF($B$1="","",SUMIFS(Timesheet!$E:$E,Timesheet!$B:$B,B$1,Timesheet!$G:$G,$A16))</f>
        <v/>
      </c>
      <c r="C16" s="6">
        <f>IF($C$1="","",SUMIFS(Timesheet!$E:$E,Timesheet!$B:$B,C$1,Timesheet!$G:$G,$A16))</f>
        <v/>
      </c>
      <c r="D16" s="6">
        <f>IF($D$1="","",SUMIFS(Timesheet!$E:$E,Timesheet!$B:$B,D$1,Timesheet!$G:$G,$A16))</f>
        <v/>
      </c>
      <c r="E16" s="6">
        <f>IF($E$1="","",SUMIFS(Timesheet!$E:$E,Timesheet!$B:$B,E$1,Timesheet!$G:$G,$A16))</f>
        <v/>
      </c>
      <c r="F16" s="6">
        <f>SUM(B16:E16)</f>
        <v/>
      </c>
      <c r="G16" s="6">
        <f>COUNTA(StaffList)*7.5*5</f>
        <v/>
      </c>
      <c r="H16" s="6">
        <f>F16-G16</f>
        <v/>
      </c>
    </row>
    <row r="17">
      <c r="A17" s="7">
        <f>A16+7</f>
        <v/>
      </c>
      <c r="B17" s="6">
        <f>IF($B$1="","",SUMIFS(Timesheet!$E:$E,Timesheet!$B:$B,B$1,Timesheet!$G:$G,$A17))</f>
        <v/>
      </c>
      <c r="C17" s="6">
        <f>IF($C$1="","",SUMIFS(Timesheet!$E:$E,Timesheet!$B:$B,C$1,Timesheet!$G:$G,$A17))</f>
        <v/>
      </c>
      <c r="D17" s="6">
        <f>IF($D$1="","",SUMIFS(Timesheet!$E:$E,Timesheet!$B:$B,D$1,Timesheet!$G:$G,$A17))</f>
        <v/>
      </c>
      <c r="E17" s="6">
        <f>IF($E$1="","",SUMIFS(Timesheet!$E:$E,Timesheet!$B:$B,E$1,Timesheet!$G:$G,$A17))</f>
        <v/>
      </c>
      <c r="F17" s="6">
        <f>SUM(B17:E17)</f>
        <v/>
      </c>
      <c r="G17" s="6">
        <f>COUNTA(StaffList)*7.5*5</f>
        <v/>
      </c>
      <c r="H17" s="6">
        <f>F17-G17</f>
        <v/>
      </c>
    </row>
    <row r="18">
      <c r="A18" s="7">
        <f>A17+7</f>
        <v/>
      </c>
      <c r="B18" s="6">
        <f>IF($B$1="","",SUMIFS(Timesheet!$E:$E,Timesheet!$B:$B,B$1,Timesheet!$G:$G,$A18))</f>
        <v/>
      </c>
      <c r="C18" s="6">
        <f>IF($C$1="","",SUMIFS(Timesheet!$E:$E,Timesheet!$B:$B,C$1,Timesheet!$G:$G,$A18))</f>
        <v/>
      </c>
      <c r="D18" s="6">
        <f>IF($D$1="","",SUMIFS(Timesheet!$E:$E,Timesheet!$B:$B,D$1,Timesheet!$G:$G,$A18))</f>
        <v/>
      </c>
      <c r="E18" s="6">
        <f>IF($E$1="","",SUMIFS(Timesheet!$E:$E,Timesheet!$B:$B,E$1,Timesheet!$G:$G,$A18))</f>
        <v/>
      </c>
      <c r="F18" s="6">
        <f>SUM(B18:E18)</f>
        <v/>
      </c>
      <c r="G18" s="6">
        <f>COUNTA(StaffList)*7.5*5</f>
        <v/>
      </c>
      <c r="H18" s="6">
        <f>F18-G18</f>
        <v/>
      </c>
    </row>
    <row r="19">
      <c r="A19" s="7">
        <f>A18+7</f>
        <v/>
      </c>
      <c r="B19" s="6">
        <f>IF($B$1="","",SUMIFS(Timesheet!$E:$E,Timesheet!$B:$B,B$1,Timesheet!$G:$G,$A19))</f>
        <v/>
      </c>
      <c r="C19" s="6">
        <f>IF($C$1="","",SUMIFS(Timesheet!$E:$E,Timesheet!$B:$B,C$1,Timesheet!$G:$G,$A19))</f>
        <v/>
      </c>
      <c r="D19" s="6">
        <f>IF($D$1="","",SUMIFS(Timesheet!$E:$E,Timesheet!$B:$B,D$1,Timesheet!$G:$G,$A19))</f>
        <v/>
      </c>
      <c r="E19" s="6">
        <f>IF($E$1="","",SUMIFS(Timesheet!$E:$E,Timesheet!$B:$B,E$1,Timesheet!$G:$G,$A19))</f>
        <v/>
      </c>
      <c r="F19" s="6">
        <f>SUM(B19:E19)</f>
        <v/>
      </c>
      <c r="G19" s="6">
        <f>COUNTA(StaffList)*7.5*5</f>
        <v/>
      </c>
      <c r="H19" s="6">
        <f>F19-G19</f>
        <v/>
      </c>
    </row>
    <row r="20">
      <c r="A20" s="7">
        <f>A19+7</f>
        <v/>
      </c>
      <c r="B20" s="6">
        <f>IF($B$1="","",SUMIFS(Timesheet!$E:$E,Timesheet!$B:$B,B$1,Timesheet!$G:$G,$A20))</f>
        <v/>
      </c>
      <c r="C20" s="6">
        <f>IF($C$1="","",SUMIFS(Timesheet!$E:$E,Timesheet!$B:$B,C$1,Timesheet!$G:$G,$A20))</f>
        <v/>
      </c>
      <c r="D20" s="6">
        <f>IF($D$1="","",SUMIFS(Timesheet!$E:$E,Timesheet!$B:$B,D$1,Timesheet!$G:$G,$A20))</f>
        <v/>
      </c>
      <c r="E20" s="6">
        <f>IF($E$1="","",SUMIFS(Timesheet!$E:$E,Timesheet!$B:$B,E$1,Timesheet!$G:$G,$A20))</f>
        <v/>
      </c>
      <c r="F20" s="6">
        <f>SUM(B20:E20)</f>
        <v/>
      </c>
      <c r="G20" s="6">
        <f>COUNTA(StaffList)*7.5*5</f>
        <v/>
      </c>
      <c r="H20" s="6">
        <f>F20-G20</f>
        <v/>
      </c>
    </row>
    <row r="21">
      <c r="A21" s="7">
        <f>A20+7</f>
        <v/>
      </c>
      <c r="B21" s="6">
        <f>IF($B$1="","",SUMIFS(Timesheet!$E:$E,Timesheet!$B:$B,B$1,Timesheet!$G:$G,$A21))</f>
        <v/>
      </c>
      <c r="C21" s="6">
        <f>IF($C$1="","",SUMIFS(Timesheet!$E:$E,Timesheet!$B:$B,C$1,Timesheet!$G:$G,$A21))</f>
        <v/>
      </c>
      <c r="D21" s="6">
        <f>IF($D$1="","",SUMIFS(Timesheet!$E:$E,Timesheet!$B:$B,D$1,Timesheet!$G:$G,$A21))</f>
        <v/>
      </c>
      <c r="E21" s="6">
        <f>IF($E$1="","",SUMIFS(Timesheet!$E:$E,Timesheet!$B:$B,E$1,Timesheet!$G:$G,$A21))</f>
        <v/>
      </c>
      <c r="F21" s="6">
        <f>SUM(B21:E21)</f>
        <v/>
      </c>
      <c r="G21" s="6">
        <f>COUNTA(StaffList)*7.5*5</f>
        <v/>
      </c>
      <c r="H21" s="6">
        <f>F21-G21</f>
        <v/>
      </c>
    </row>
    <row r="22">
      <c r="A22" s="7">
        <f>A21+7</f>
        <v/>
      </c>
      <c r="B22" s="6">
        <f>IF($B$1="","",SUMIFS(Timesheet!$E:$E,Timesheet!$B:$B,B$1,Timesheet!$G:$G,$A22))</f>
        <v/>
      </c>
      <c r="C22" s="6">
        <f>IF($C$1="","",SUMIFS(Timesheet!$E:$E,Timesheet!$B:$B,C$1,Timesheet!$G:$G,$A22))</f>
        <v/>
      </c>
      <c r="D22" s="6">
        <f>IF($D$1="","",SUMIFS(Timesheet!$E:$E,Timesheet!$B:$B,D$1,Timesheet!$G:$G,$A22))</f>
        <v/>
      </c>
      <c r="E22" s="6">
        <f>IF($E$1="","",SUMIFS(Timesheet!$E:$E,Timesheet!$B:$B,E$1,Timesheet!$G:$G,$A22))</f>
        <v/>
      </c>
      <c r="F22" s="6">
        <f>SUM(B22:E22)</f>
        <v/>
      </c>
      <c r="G22" s="6">
        <f>COUNTA(StaffList)*7.5*5</f>
        <v/>
      </c>
      <c r="H22" s="6">
        <f>F22-G22</f>
        <v/>
      </c>
    </row>
    <row r="23">
      <c r="A23" s="7">
        <f>A22+7</f>
        <v/>
      </c>
      <c r="B23" s="6">
        <f>IF($B$1="","",SUMIFS(Timesheet!$E:$E,Timesheet!$B:$B,B$1,Timesheet!$G:$G,$A23))</f>
        <v/>
      </c>
      <c r="C23" s="6">
        <f>IF($C$1="","",SUMIFS(Timesheet!$E:$E,Timesheet!$B:$B,C$1,Timesheet!$G:$G,$A23))</f>
        <v/>
      </c>
      <c r="D23" s="6">
        <f>IF($D$1="","",SUMIFS(Timesheet!$E:$E,Timesheet!$B:$B,D$1,Timesheet!$G:$G,$A23))</f>
        <v/>
      </c>
      <c r="E23" s="6">
        <f>IF($E$1="","",SUMIFS(Timesheet!$E:$E,Timesheet!$B:$B,E$1,Timesheet!$G:$G,$A23))</f>
        <v/>
      </c>
      <c r="F23" s="6">
        <f>SUM(B23:E23)</f>
        <v/>
      </c>
      <c r="G23" s="6">
        <f>COUNTA(StaffList)*7.5*5</f>
        <v/>
      </c>
      <c r="H23" s="6">
        <f>F23-G23</f>
        <v/>
      </c>
    </row>
    <row r="24">
      <c r="A24" s="7">
        <f>A23+7</f>
        <v/>
      </c>
      <c r="B24" s="6">
        <f>IF($B$1="","",SUMIFS(Timesheet!$E:$E,Timesheet!$B:$B,B$1,Timesheet!$G:$G,$A24))</f>
        <v/>
      </c>
      <c r="C24" s="6">
        <f>IF($C$1="","",SUMIFS(Timesheet!$E:$E,Timesheet!$B:$B,C$1,Timesheet!$G:$G,$A24))</f>
        <v/>
      </c>
      <c r="D24" s="6">
        <f>IF($D$1="","",SUMIFS(Timesheet!$E:$E,Timesheet!$B:$B,D$1,Timesheet!$G:$G,$A24))</f>
        <v/>
      </c>
      <c r="E24" s="6">
        <f>IF($E$1="","",SUMIFS(Timesheet!$E:$E,Timesheet!$B:$B,E$1,Timesheet!$G:$G,$A24))</f>
        <v/>
      </c>
      <c r="F24" s="6">
        <f>SUM(B24:E24)</f>
        <v/>
      </c>
      <c r="G24" s="6">
        <f>COUNTA(StaffList)*7.5*5</f>
        <v/>
      </c>
      <c r="H24" s="6">
        <f>F24-G24</f>
        <v/>
      </c>
    </row>
    <row r="25">
      <c r="A25" s="7">
        <f>A24+7</f>
        <v/>
      </c>
      <c r="B25" s="6">
        <f>IF($B$1="","",SUMIFS(Timesheet!$E:$E,Timesheet!$B:$B,B$1,Timesheet!$G:$G,$A25))</f>
        <v/>
      </c>
      <c r="C25" s="6">
        <f>IF($C$1="","",SUMIFS(Timesheet!$E:$E,Timesheet!$B:$B,C$1,Timesheet!$G:$G,$A25))</f>
        <v/>
      </c>
      <c r="D25" s="6">
        <f>IF($D$1="","",SUMIFS(Timesheet!$E:$E,Timesheet!$B:$B,D$1,Timesheet!$G:$G,$A25))</f>
        <v/>
      </c>
      <c r="E25" s="6">
        <f>IF($E$1="","",SUMIFS(Timesheet!$E:$E,Timesheet!$B:$B,E$1,Timesheet!$G:$G,$A25))</f>
        <v/>
      </c>
      <c r="F25" s="6">
        <f>SUM(B25:E25)</f>
        <v/>
      </c>
      <c r="G25" s="6">
        <f>COUNTA(StaffList)*7.5*5</f>
        <v/>
      </c>
      <c r="H25" s="6">
        <f>F25-G25</f>
        <v/>
      </c>
    </row>
    <row r="26">
      <c r="A26" s="7">
        <f>A25+7</f>
        <v/>
      </c>
      <c r="B26" s="6">
        <f>IF($B$1="","",SUMIFS(Timesheet!$E:$E,Timesheet!$B:$B,B$1,Timesheet!$G:$G,$A26))</f>
        <v/>
      </c>
      <c r="C26" s="6">
        <f>IF($C$1="","",SUMIFS(Timesheet!$E:$E,Timesheet!$B:$B,C$1,Timesheet!$G:$G,$A26))</f>
        <v/>
      </c>
      <c r="D26" s="6">
        <f>IF($D$1="","",SUMIFS(Timesheet!$E:$E,Timesheet!$B:$B,D$1,Timesheet!$G:$G,$A26))</f>
        <v/>
      </c>
      <c r="E26" s="6">
        <f>IF($E$1="","",SUMIFS(Timesheet!$E:$E,Timesheet!$B:$B,E$1,Timesheet!$G:$G,$A26))</f>
        <v/>
      </c>
      <c r="F26" s="6">
        <f>SUM(B26:E26)</f>
        <v/>
      </c>
      <c r="G26" s="6">
        <f>COUNTA(StaffList)*7.5*5</f>
        <v/>
      </c>
      <c r="H26" s="6">
        <f>F26-G26</f>
        <v/>
      </c>
    </row>
    <row r="27">
      <c r="A27" s="7">
        <f>A26+7</f>
        <v/>
      </c>
      <c r="B27" s="6">
        <f>IF($B$1="","",SUMIFS(Timesheet!$E:$E,Timesheet!$B:$B,B$1,Timesheet!$G:$G,$A27))</f>
        <v/>
      </c>
      <c r="C27" s="6">
        <f>IF($C$1="","",SUMIFS(Timesheet!$E:$E,Timesheet!$B:$B,C$1,Timesheet!$G:$G,$A27))</f>
        <v/>
      </c>
      <c r="D27" s="6">
        <f>IF($D$1="","",SUMIFS(Timesheet!$E:$E,Timesheet!$B:$B,D$1,Timesheet!$G:$G,$A27))</f>
        <v/>
      </c>
      <c r="E27" s="6">
        <f>IF($E$1="","",SUMIFS(Timesheet!$E:$E,Timesheet!$B:$B,E$1,Timesheet!$G:$G,$A27))</f>
        <v/>
      </c>
      <c r="F27" s="6">
        <f>SUM(B27:E27)</f>
        <v/>
      </c>
      <c r="G27" s="6">
        <f>COUNTA(StaffList)*7.5*5</f>
        <v/>
      </c>
      <c r="H27" s="6">
        <f>F27-G27</f>
        <v/>
      </c>
    </row>
    <row r="28">
      <c r="A28" s="7">
        <f>A27+7</f>
        <v/>
      </c>
      <c r="B28" s="6">
        <f>IF($B$1="","",SUMIFS(Timesheet!$E:$E,Timesheet!$B:$B,B$1,Timesheet!$G:$G,$A28))</f>
        <v/>
      </c>
      <c r="C28" s="6">
        <f>IF($C$1="","",SUMIFS(Timesheet!$E:$E,Timesheet!$B:$B,C$1,Timesheet!$G:$G,$A28))</f>
        <v/>
      </c>
      <c r="D28" s="6">
        <f>IF($D$1="","",SUMIFS(Timesheet!$E:$E,Timesheet!$B:$B,D$1,Timesheet!$G:$G,$A28))</f>
        <v/>
      </c>
      <c r="E28" s="6">
        <f>IF($E$1="","",SUMIFS(Timesheet!$E:$E,Timesheet!$B:$B,E$1,Timesheet!$G:$G,$A28))</f>
        <v/>
      </c>
      <c r="F28" s="6">
        <f>SUM(B28:E28)</f>
        <v/>
      </c>
      <c r="G28" s="6">
        <f>COUNTA(StaffList)*7.5*5</f>
        <v/>
      </c>
      <c r="H28" s="6">
        <f>F28-G28</f>
        <v/>
      </c>
    </row>
    <row r="29">
      <c r="A29" s="7">
        <f>A28+7</f>
        <v/>
      </c>
      <c r="B29" s="6">
        <f>IF($B$1="","",SUMIFS(Timesheet!$E:$E,Timesheet!$B:$B,B$1,Timesheet!$G:$G,$A29))</f>
        <v/>
      </c>
      <c r="C29" s="6">
        <f>IF($C$1="","",SUMIFS(Timesheet!$E:$E,Timesheet!$B:$B,C$1,Timesheet!$G:$G,$A29))</f>
        <v/>
      </c>
      <c r="D29" s="6">
        <f>IF($D$1="","",SUMIFS(Timesheet!$E:$E,Timesheet!$B:$B,D$1,Timesheet!$G:$G,$A29))</f>
        <v/>
      </c>
      <c r="E29" s="6">
        <f>IF($E$1="","",SUMIFS(Timesheet!$E:$E,Timesheet!$B:$B,E$1,Timesheet!$G:$G,$A29))</f>
        <v/>
      </c>
      <c r="F29" s="6">
        <f>SUM(B29:E29)</f>
        <v/>
      </c>
      <c r="G29" s="6">
        <f>COUNTA(StaffList)*7.5*5</f>
        <v/>
      </c>
      <c r="H29" s="6">
        <f>F29-G29</f>
        <v/>
      </c>
    </row>
    <row r="30">
      <c r="A30" s="7">
        <f>A29+7</f>
        <v/>
      </c>
      <c r="B30" s="6">
        <f>IF($B$1="","",SUMIFS(Timesheet!$E:$E,Timesheet!$B:$B,B$1,Timesheet!$G:$G,$A30))</f>
        <v/>
      </c>
      <c r="C30" s="6">
        <f>IF($C$1="","",SUMIFS(Timesheet!$E:$E,Timesheet!$B:$B,C$1,Timesheet!$G:$G,$A30))</f>
        <v/>
      </c>
      <c r="D30" s="6">
        <f>IF($D$1="","",SUMIFS(Timesheet!$E:$E,Timesheet!$B:$B,D$1,Timesheet!$G:$G,$A30))</f>
        <v/>
      </c>
      <c r="E30" s="6">
        <f>IF($E$1="","",SUMIFS(Timesheet!$E:$E,Timesheet!$B:$B,E$1,Timesheet!$G:$G,$A30))</f>
        <v/>
      </c>
      <c r="F30" s="6">
        <f>SUM(B30:E30)</f>
        <v/>
      </c>
      <c r="G30" s="6">
        <f>COUNTA(StaffList)*7.5*5</f>
        <v/>
      </c>
      <c r="H30" s="6">
        <f>F30-G30</f>
        <v/>
      </c>
    </row>
    <row r="31">
      <c r="A31" s="7">
        <f>A30+7</f>
        <v/>
      </c>
      <c r="B31" s="6">
        <f>IF($B$1="","",SUMIFS(Timesheet!$E:$E,Timesheet!$B:$B,B$1,Timesheet!$G:$G,$A31))</f>
        <v/>
      </c>
      <c r="C31" s="6">
        <f>IF($C$1="","",SUMIFS(Timesheet!$E:$E,Timesheet!$B:$B,C$1,Timesheet!$G:$G,$A31))</f>
        <v/>
      </c>
      <c r="D31" s="6">
        <f>IF($D$1="","",SUMIFS(Timesheet!$E:$E,Timesheet!$B:$B,D$1,Timesheet!$G:$G,$A31))</f>
        <v/>
      </c>
      <c r="E31" s="6">
        <f>IF($E$1="","",SUMIFS(Timesheet!$E:$E,Timesheet!$B:$B,E$1,Timesheet!$G:$G,$A31))</f>
        <v/>
      </c>
      <c r="F31" s="6">
        <f>SUM(B31:E31)</f>
        <v/>
      </c>
      <c r="G31" s="6">
        <f>COUNTA(StaffList)*7.5*5</f>
        <v/>
      </c>
      <c r="H31" s="6">
        <f>F31-G31</f>
        <v/>
      </c>
    </row>
    <row r="32">
      <c r="A32" s="7">
        <f>A31+7</f>
        <v/>
      </c>
      <c r="B32" s="6">
        <f>IF($B$1="","",SUMIFS(Timesheet!$E:$E,Timesheet!$B:$B,B$1,Timesheet!$G:$G,$A32))</f>
        <v/>
      </c>
      <c r="C32" s="6">
        <f>IF($C$1="","",SUMIFS(Timesheet!$E:$E,Timesheet!$B:$B,C$1,Timesheet!$G:$G,$A32))</f>
        <v/>
      </c>
      <c r="D32" s="6">
        <f>IF($D$1="","",SUMIFS(Timesheet!$E:$E,Timesheet!$B:$B,D$1,Timesheet!$G:$G,$A32))</f>
        <v/>
      </c>
      <c r="E32" s="6">
        <f>IF($E$1="","",SUMIFS(Timesheet!$E:$E,Timesheet!$B:$B,E$1,Timesheet!$G:$G,$A32))</f>
        <v/>
      </c>
      <c r="F32" s="6">
        <f>SUM(B32:E32)</f>
        <v/>
      </c>
      <c r="G32" s="6">
        <f>COUNTA(StaffList)*7.5*5</f>
        <v/>
      </c>
      <c r="H32" s="6">
        <f>F32-G32</f>
        <v/>
      </c>
    </row>
    <row r="33">
      <c r="A33" s="7">
        <f>A32+7</f>
        <v/>
      </c>
      <c r="B33" s="6">
        <f>IF($B$1="","",SUMIFS(Timesheet!$E:$E,Timesheet!$B:$B,B$1,Timesheet!$G:$G,$A33))</f>
        <v/>
      </c>
      <c r="C33" s="6">
        <f>IF($C$1="","",SUMIFS(Timesheet!$E:$E,Timesheet!$B:$B,C$1,Timesheet!$G:$G,$A33))</f>
        <v/>
      </c>
      <c r="D33" s="6">
        <f>IF($D$1="","",SUMIFS(Timesheet!$E:$E,Timesheet!$B:$B,D$1,Timesheet!$G:$G,$A33))</f>
        <v/>
      </c>
      <c r="E33" s="6">
        <f>IF($E$1="","",SUMIFS(Timesheet!$E:$E,Timesheet!$B:$B,E$1,Timesheet!$G:$G,$A33))</f>
        <v/>
      </c>
      <c r="F33" s="6">
        <f>SUM(B33:E33)</f>
        <v/>
      </c>
      <c r="G33" s="6">
        <f>COUNTA(StaffList)*7.5*5</f>
        <v/>
      </c>
      <c r="H33" s="6">
        <f>F33-G33</f>
        <v/>
      </c>
    </row>
    <row r="34">
      <c r="A34" s="7">
        <f>A33+7</f>
        <v/>
      </c>
      <c r="B34" s="6">
        <f>IF($B$1="","",SUMIFS(Timesheet!$E:$E,Timesheet!$B:$B,B$1,Timesheet!$G:$G,$A34))</f>
        <v/>
      </c>
      <c r="C34" s="6">
        <f>IF($C$1="","",SUMIFS(Timesheet!$E:$E,Timesheet!$B:$B,C$1,Timesheet!$G:$G,$A34))</f>
        <v/>
      </c>
      <c r="D34" s="6">
        <f>IF($D$1="","",SUMIFS(Timesheet!$E:$E,Timesheet!$B:$B,D$1,Timesheet!$G:$G,$A34))</f>
        <v/>
      </c>
      <c r="E34" s="6">
        <f>IF($E$1="","",SUMIFS(Timesheet!$E:$E,Timesheet!$B:$B,E$1,Timesheet!$G:$G,$A34))</f>
        <v/>
      </c>
      <c r="F34" s="6">
        <f>SUM(B34:E34)</f>
        <v/>
      </c>
      <c r="G34" s="6">
        <f>COUNTA(StaffList)*7.5*5</f>
        <v/>
      </c>
      <c r="H34" s="6">
        <f>F34-G34</f>
        <v/>
      </c>
    </row>
    <row r="35">
      <c r="A35" s="7">
        <f>A34+7</f>
        <v/>
      </c>
      <c r="B35" s="6">
        <f>IF($B$1="","",SUMIFS(Timesheet!$E:$E,Timesheet!$B:$B,B$1,Timesheet!$G:$G,$A35))</f>
        <v/>
      </c>
      <c r="C35" s="6">
        <f>IF($C$1="","",SUMIFS(Timesheet!$E:$E,Timesheet!$B:$B,C$1,Timesheet!$G:$G,$A35))</f>
        <v/>
      </c>
      <c r="D35" s="6">
        <f>IF($D$1="","",SUMIFS(Timesheet!$E:$E,Timesheet!$B:$B,D$1,Timesheet!$G:$G,$A35))</f>
        <v/>
      </c>
      <c r="E35" s="6">
        <f>IF($E$1="","",SUMIFS(Timesheet!$E:$E,Timesheet!$B:$B,E$1,Timesheet!$G:$G,$A35))</f>
        <v/>
      </c>
      <c r="F35" s="6">
        <f>SUM(B35:E35)</f>
        <v/>
      </c>
      <c r="G35" s="6">
        <f>COUNTA(StaffList)*7.5*5</f>
        <v/>
      </c>
      <c r="H35" s="6">
        <f>F35-G35</f>
        <v/>
      </c>
    </row>
    <row r="36">
      <c r="A36" s="7">
        <f>A35+7</f>
        <v/>
      </c>
      <c r="B36" s="6">
        <f>IF($B$1="","",SUMIFS(Timesheet!$E:$E,Timesheet!$B:$B,B$1,Timesheet!$G:$G,$A36))</f>
        <v/>
      </c>
      <c r="C36" s="6">
        <f>IF($C$1="","",SUMIFS(Timesheet!$E:$E,Timesheet!$B:$B,C$1,Timesheet!$G:$G,$A36))</f>
        <v/>
      </c>
      <c r="D36" s="6">
        <f>IF($D$1="","",SUMIFS(Timesheet!$E:$E,Timesheet!$B:$B,D$1,Timesheet!$G:$G,$A36))</f>
        <v/>
      </c>
      <c r="E36" s="6">
        <f>IF($E$1="","",SUMIFS(Timesheet!$E:$E,Timesheet!$B:$B,E$1,Timesheet!$G:$G,$A36))</f>
        <v/>
      </c>
      <c r="F36" s="6">
        <f>SUM(B36:E36)</f>
        <v/>
      </c>
      <c r="G36" s="6">
        <f>COUNTA(StaffList)*7.5*5</f>
        <v/>
      </c>
      <c r="H36" s="6">
        <f>F36-G36</f>
        <v/>
      </c>
    </row>
    <row r="37">
      <c r="A37" s="7">
        <f>A36+7</f>
        <v/>
      </c>
      <c r="B37" s="6">
        <f>IF($B$1="","",SUMIFS(Timesheet!$E:$E,Timesheet!$B:$B,B$1,Timesheet!$G:$G,$A37))</f>
        <v/>
      </c>
      <c r="C37" s="6">
        <f>IF($C$1="","",SUMIFS(Timesheet!$E:$E,Timesheet!$B:$B,C$1,Timesheet!$G:$G,$A37))</f>
        <v/>
      </c>
      <c r="D37" s="6">
        <f>IF($D$1="","",SUMIFS(Timesheet!$E:$E,Timesheet!$B:$B,D$1,Timesheet!$G:$G,$A37))</f>
        <v/>
      </c>
      <c r="E37" s="6">
        <f>IF($E$1="","",SUMIFS(Timesheet!$E:$E,Timesheet!$B:$B,E$1,Timesheet!$G:$G,$A37))</f>
        <v/>
      </c>
      <c r="F37" s="6">
        <f>SUM(B37:E37)</f>
        <v/>
      </c>
      <c r="G37" s="6">
        <f>COUNTA(StaffList)*7.5*5</f>
        <v/>
      </c>
      <c r="H37" s="6">
        <f>F37-G37</f>
        <v/>
      </c>
    </row>
    <row r="38">
      <c r="A38" s="7">
        <f>A37+7</f>
        <v/>
      </c>
      <c r="B38" s="6">
        <f>IF($B$1="","",SUMIFS(Timesheet!$E:$E,Timesheet!$B:$B,B$1,Timesheet!$G:$G,$A38))</f>
        <v/>
      </c>
      <c r="C38" s="6">
        <f>IF($C$1="","",SUMIFS(Timesheet!$E:$E,Timesheet!$B:$B,C$1,Timesheet!$G:$G,$A38))</f>
        <v/>
      </c>
      <c r="D38" s="6">
        <f>IF($D$1="","",SUMIFS(Timesheet!$E:$E,Timesheet!$B:$B,D$1,Timesheet!$G:$G,$A38))</f>
        <v/>
      </c>
      <c r="E38" s="6">
        <f>IF($E$1="","",SUMIFS(Timesheet!$E:$E,Timesheet!$B:$B,E$1,Timesheet!$G:$G,$A38))</f>
        <v/>
      </c>
      <c r="F38" s="6">
        <f>SUM(B38:E38)</f>
        <v/>
      </c>
      <c r="G38" s="6">
        <f>COUNTA(StaffList)*7.5*5</f>
        <v/>
      </c>
      <c r="H38" s="6">
        <f>F38-G38</f>
        <v/>
      </c>
    </row>
    <row r="39">
      <c r="A39" s="7">
        <f>A38+7</f>
        <v/>
      </c>
      <c r="B39" s="6">
        <f>IF($B$1="","",SUMIFS(Timesheet!$E:$E,Timesheet!$B:$B,B$1,Timesheet!$G:$G,$A39))</f>
        <v/>
      </c>
      <c r="C39" s="6">
        <f>IF($C$1="","",SUMIFS(Timesheet!$E:$E,Timesheet!$B:$B,C$1,Timesheet!$G:$G,$A39))</f>
        <v/>
      </c>
      <c r="D39" s="6">
        <f>IF($D$1="","",SUMIFS(Timesheet!$E:$E,Timesheet!$B:$B,D$1,Timesheet!$G:$G,$A39))</f>
        <v/>
      </c>
      <c r="E39" s="6">
        <f>IF($E$1="","",SUMIFS(Timesheet!$E:$E,Timesheet!$B:$B,E$1,Timesheet!$G:$G,$A39))</f>
        <v/>
      </c>
      <c r="F39" s="6">
        <f>SUM(B39:E39)</f>
        <v/>
      </c>
      <c r="G39" s="6">
        <f>COUNTA(StaffList)*7.5*5</f>
        <v/>
      </c>
      <c r="H39" s="6">
        <f>F39-G39</f>
        <v/>
      </c>
    </row>
    <row r="40">
      <c r="A40" s="7">
        <f>A39+7</f>
        <v/>
      </c>
      <c r="B40" s="6">
        <f>IF($B$1="","",SUMIFS(Timesheet!$E:$E,Timesheet!$B:$B,B$1,Timesheet!$G:$G,$A40))</f>
        <v/>
      </c>
      <c r="C40" s="6">
        <f>IF($C$1="","",SUMIFS(Timesheet!$E:$E,Timesheet!$B:$B,C$1,Timesheet!$G:$G,$A40))</f>
        <v/>
      </c>
      <c r="D40" s="6">
        <f>IF($D$1="","",SUMIFS(Timesheet!$E:$E,Timesheet!$B:$B,D$1,Timesheet!$G:$G,$A40))</f>
        <v/>
      </c>
      <c r="E40" s="6">
        <f>IF($E$1="","",SUMIFS(Timesheet!$E:$E,Timesheet!$B:$B,E$1,Timesheet!$G:$G,$A40))</f>
        <v/>
      </c>
      <c r="F40" s="6">
        <f>SUM(B40:E40)</f>
        <v/>
      </c>
      <c r="G40" s="6">
        <f>COUNTA(StaffList)*7.5*5</f>
        <v/>
      </c>
      <c r="H40" s="6">
        <f>F40-G40</f>
        <v/>
      </c>
    </row>
    <row r="41">
      <c r="A41" s="7">
        <f>A40+7</f>
        <v/>
      </c>
      <c r="B41" s="6">
        <f>IF($B$1="","",SUMIFS(Timesheet!$E:$E,Timesheet!$B:$B,B$1,Timesheet!$G:$G,$A41))</f>
        <v/>
      </c>
      <c r="C41" s="6">
        <f>IF($C$1="","",SUMIFS(Timesheet!$E:$E,Timesheet!$B:$B,C$1,Timesheet!$G:$G,$A41))</f>
        <v/>
      </c>
      <c r="D41" s="6">
        <f>IF($D$1="","",SUMIFS(Timesheet!$E:$E,Timesheet!$B:$B,D$1,Timesheet!$G:$G,$A41))</f>
        <v/>
      </c>
      <c r="E41" s="6">
        <f>IF($E$1="","",SUMIFS(Timesheet!$E:$E,Timesheet!$B:$B,E$1,Timesheet!$G:$G,$A41))</f>
        <v/>
      </c>
      <c r="F41" s="6">
        <f>SUM(B41:E41)</f>
        <v/>
      </c>
      <c r="G41" s="6">
        <f>COUNTA(StaffList)*7.5*5</f>
        <v/>
      </c>
      <c r="H41" s="6">
        <f>F41-G41</f>
        <v/>
      </c>
    </row>
    <row r="42">
      <c r="A42" s="7">
        <f>A41+7</f>
        <v/>
      </c>
      <c r="B42" s="6">
        <f>IF($B$1="","",SUMIFS(Timesheet!$E:$E,Timesheet!$B:$B,B$1,Timesheet!$G:$G,$A42))</f>
        <v/>
      </c>
      <c r="C42" s="6">
        <f>IF($C$1="","",SUMIFS(Timesheet!$E:$E,Timesheet!$B:$B,C$1,Timesheet!$G:$G,$A42))</f>
        <v/>
      </c>
      <c r="D42" s="6">
        <f>IF($D$1="","",SUMIFS(Timesheet!$E:$E,Timesheet!$B:$B,D$1,Timesheet!$G:$G,$A42))</f>
        <v/>
      </c>
      <c r="E42" s="6">
        <f>IF($E$1="","",SUMIFS(Timesheet!$E:$E,Timesheet!$B:$B,E$1,Timesheet!$G:$G,$A42))</f>
        <v/>
      </c>
      <c r="F42" s="6">
        <f>SUM(B42:E42)</f>
        <v/>
      </c>
      <c r="G42" s="6">
        <f>COUNTA(StaffList)*7.5*5</f>
        <v/>
      </c>
      <c r="H42" s="6">
        <f>F42-G42</f>
        <v/>
      </c>
    </row>
    <row r="43">
      <c r="A43" s="7">
        <f>A42+7</f>
        <v/>
      </c>
      <c r="B43" s="6">
        <f>IF($B$1="","",SUMIFS(Timesheet!$E:$E,Timesheet!$B:$B,B$1,Timesheet!$G:$G,$A43))</f>
        <v/>
      </c>
      <c r="C43" s="6">
        <f>IF($C$1="","",SUMIFS(Timesheet!$E:$E,Timesheet!$B:$B,C$1,Timesheet!$G:$G,$A43))</f>
        <v/>
      </c>
      <c r="D43" s="6">
        <f>IF($D$1="","",SUMIFS(Timesheet!$E:$E,Timesheet!$B:$B,D$1,Timesheet!$G:$G,$A43))</f>
        <v/>
      </c>
      <c r="E43" s="6">
        <f>IF($E$1="","",SUMIFS(Timesheet!$E:$E,Timesheet!$B:$B,E$1,Timesheet!$G:$G,$A43))</f>
        <v/>
      </c>
      <c r="F43" s="6">
        <f>SUM(B43:E43)</f>
        <v/>
      </c>
      <c r="G43" s="6">
        <f>COUNTA(StaffList)*7.5*5</f>
        <v/>
      </c>
      <c r="H43" s="6">
        <f>F43-G43</f>
        <v/>
      </c>
    </row>
    <row r="44">
      <c r="A44" s="7">
        <f>A43+7</f>
        <v/>
      </c>
      <c r="B44" s="6">
        <f>IF($B$1="","",SUMIFS(Timesheet!$E:$E,Timesheet!$B:$B,B$1,Timesheet!$G:$G,$A44))</f>
        <v/>
      </c>
      <c r="C44" s="6">
        <f>IF($C$1="","",SUMIFS(Timesheet!$E:$E,Timesheet!$B:$B,C$1,Timesheet!$G:$G,$A44))</f>
        <v/>
      </c>
      <c r="D44" s="6">
        <f>IF($D$1="","",SUMIFS(Timesheet!$E:$E,Timesheet!$B:$B,D$1,Timesheet!$G:$G,$A44))</f>
        <v/>
      </c>
      <c r="E44" s="6">
        <f>IF($E$1="","",SUMIFS(Timesheet!$E:$E,Timesheet!$B:$B,E$1,Timesheet!$G:$G,$A44))</f>
        <v/>
      </c>
      <c r="F44" s="6">
        <f>SUM(B44:E44)</f>
        <v/>
      </c>
      <c r="G44" s="6">
        <f>COUNTA(StaffList)*7.5*5</f>
        <v/>
      </c>
      <c r="H44" s="6">
        <f>F44-G44</f>
        <v/>
      </c>
    </row>
    <row r="45">
      <c r="A45" s="7">
        <f>A44+7</f>
        <v/>
      </c>
      <c r="B45" s="6">
        <f>IF($B$1="","",SUMIFS(Timesheet!$E:$E,Timesheet!$B:$B,B$1,Timesheet!$G:$G,$A45))</f>
        <v/>
      </c>
      <c r="C45" s="6">
        <f>IF($C$1="","",SUMIFS(Timesheet!$E:$E,Timesheet!$B:$B,C$1,Timesheet!$G:$G,$A45))</f>
        <v/>
      </c>
      <c r="D45" s="6">
        <f>IF($D$1="","",SUMIFS(Timesheet!$E:$E,Timesheet!$B:$B,D$1,Timesheet!$G:$G,$A45))</f>
        <v/>
      </c>
      <c r="E45" s="6">
        <f>IF($E$1="","",SUMIFS(Timesheet!$E:$E,Timesheet!$B:$B,E$1,Timesheet!$G:$G,$A45))</f>
        <v/>
      </c>
      <c r="F45" s="6">
        <f>SUM(B45:E45)</f>
        <v/>
      </c>
      <c r="G45" s="6">
        <f>COUNTA(StaffList)*7.5*5</f>
        <v/>
      </c>
      <c r="H45" s="6">
        <f>F45-G45</f>
        <v/>
      </c>
    </row>
    <row r="46">
      <c r="A46" s="7">
        <f>A45+7</f>
        <v/>
      </c>
      <c r="B46" s="6">
        <f>IF($B$1="","",SUMIFS(Timesheet!$E:$E,Timesheet!$B:$B,B$1,Timesheet!$G:$G,$A46))</f>
        <v/>
      </c>
      <c r="C46" s="6">
        <f>IF($C$1="","",SUMIFS(Timesheet!$E:$E,Timesheet!$B:$B,C$1,Timesheet!$G:$G,$A46))</f>
        <v/>
      </c>
      <c r="D46" s="6">
        <f>IF($D$1="","",SUMIFS(Timesheet!$E:$E,Timesheet!$B:$B,D$1,Timesheet!$G:$G,$A46))</f>
        <v/>
      </c>
      <c r="E46" s="6">
        <f>IF($E$1="","",SUMIFS(Timesheet!$E:$E,Timesheet!$B:$B,E$1,Timesheet!$G:$G,$A46))</f>
        <v/>
      </c>
      <c r="F46" s="6">
        <f>SUM(B46:E46)</f>
        <v/>
      </c>
      <c r="G46" s="6">
        <f>COUNTA(StaffList)*7.5*5</f>
        <v/>
      </c>
      <c r="H46" s="6">
        <f>F46-G46</f>
        <v/>
      </c>
    </row>
    <row r="47">
      <c r="A47" s="7">
        <f>A46+7</f>
        <v/>
      </c>
      <c r="B47" s="6">
        <f>IF($B$1="","",SUMIFS(Timesheet!$E:$E,Timesheet!$B:$B,B$1,Timesheet!$G:$G,$A47))</f>
        <v/>
      </c>
      <c r="C47" s="6">
        <f>IF($C$1="","",SUMIFS(Timesheet!$E:$E,Timesheet!$B:$B,C$1,Timesheet!$G:$G,$A47))</f>
        <v/>
      </c>
      <c r="D47" s="6">
        <f>IF($D$1="","",SUMIFS(Timesheet!$E:$E,Timesheet!$B:$B,D$1,Timesheet!$G:$G,$A47))</f>
        <v/>
      </c>
      <c r="E47" s="6">
        <f>IF($E$1="","",SUMIFS(Timesheet!$E:$E,Timesheet!$B:$B,E$1,Timesheet!$G:$G,$A47))</f>
        <v/>
      </c>
      <c r="F47" s="6">
        <f>SUM(B47:E47)</f>
        <v/>
      </c>
      <c r="G47" s="6">
        <f>COUNTA(StaffList)*7.5*5</f>
        <v/>
      </c>
      <c r="H47" s="6">
        <f>F47-G47</f>
        <v/>
      </c>
    </row>
    <row r="48">
      <c r="A48" s="7">
        <f>A47+7</f>
        <v/>
      </c>
      <c r="B48" s="6">
        <f>IF($B$1="","",SUMIFS(Timesheet!$E:$E,Timesheet!$B:$B,B$1,Timesheet!$G:$G,$A48))</f>
        <v/>
      </c>
      <c r="C48" s="6">
        <f>IF($C$1="","",SUMIFS(Timesheet!$E:$E,Timesheet!$B:$B,C$1,Timesheet!$G:$G,$A48))</f>
        <v/>
      </c>
      <c r="D48" s="6">
        <f>IF($D$1="","",SUMIFS(Timesheet!$E:$E,Timesheet!$B:$B,D$1,Timesheet!$G:$G,$A48))</f>
        <v/>
      </c>
      <c r="E48" s="6">
        <f>IF($E$1="","",SUMIFS(Timesheet!$E:$E,Timesheet!$B:$B,E$1,Timesheet!$G:$G,$A48))</f>
        <v/>
      </c>
      <c r="F48" s="6">
        <f>SUM(B48:E48)</f>
        <v/>
      </c>
      <c r="G48" s="6">
        <f>COUNTA(StaffList)*7.5*5</f>
        <v/>
      </c>
      <c r="H48" s="6">
        <f>F48-G48</f>
        <v/>
      </c>
    </row>
    <row r="49">
      <c r="A49" s="7">
        <f>A48+7</f>
        <v/>
      </c>
      <c r="B49" s="6">
        <f>IF($B$1="","",SUMIFS(Timesheet!$E:$E,Timesheet!$B:$B,B$1,Timesheet!$G:$G,$A49))</f>
        <v/>
      </c>
      <c r="C49" s="6">
        <f>IF($C$1="","",SUMIFS(Timesheet!$E:$E,Timesheet!$B:$B,C$1,Timesheet!$G:$G,$A49))</f>
        <v/>
      </c>
      <c r="D49" s="6">
        <f>IF($D$1="","",SUMIFS(Timesheet!$E:$E,Timesheet!$B:$B,D$1,Timesheet!$G:$G,$A49))</f>
        <v/>
      </c>
      <c r="E49" s="6">
        <f>IF($E$1="","",SUMIFS(Timesheet!$E:$E,Timesheet!$B:$B,E$1,Timesheet!$G:$G,$A49))</f>
        <v/>
      </c>
      <c r="F49" s="6">
        <f>SUM(B49:E49)</f>
        <v/>
      </c>
      <c r="G49" s="6">
        <f>COUNTA(StaffList)*7.5*5</f>
        <v/>
      </c>
      <c r="H49" s="6">
        <f>F49-G49</f>
        <v/>
      </c>
    </row>
    <row r="50">
      <c r="A50" s="7">
        <f>A49+7</f>
        <v/>
      </c>
      <c r="B50" s="6">
        <f>IF($B$1="","",SUMIFS(Timesheet!$E:$E,Timesheet!$B:$B,B$1,Timesheet!$G:$G,$A50))</f>
        <v/>
      </c>
      <c r="C50" s="6">
        <f>IF($C$1="","",SUMIFS(Timesheet!$E:$E,Timesheet!$B:$B,C$1,Timesheet!$G:$G,$A50))</f>
        <v/>
      </c>
      <c r="D50" s="6">
        <f>IF($D$1="","",SUMIFS(Timesheet!$E:$E,Timesheet!$B:$B,D$1,Timesheet!$G:$G,$A50))</f>
        <v/>
      </c>
      <c r="E50" s="6">
        <f>IF($E$1="","",SUMIFS(Timesheet!$E:$E,Timesheet!$B:$B,E$1,Timesheet!$G:$G,$A50))</f>
        <v/>
      </c>
      <c r="F50" s="6">
        <f>SUM(B50:E50)</f>
        <v/>
      </c>
      <c r="G50" s="6">
        <f>COUNTA(StaffList)*7.5*5</f>
        <v/>
      </c>
      <c r="H50" s="6">
        <f>F50-G50</f>
        <v/>
      </c>
    </row>
    <row r="51">
      <c r="A51" s="7">
        <f>A50+7</f>
        <v/>
      </c>
      <c r="B51" s="6">
        <f>IF($B$1="","",SUMIFS(Timesheet!$E:$E,Timesheet!$B:$B,B$1,Timesheet!$G:$G,$A51))</f>
        <v/>
      </c>
      <c r="C51" s="6">
        <f>IF($C$1="","",SUMIFS(Timesheet!$E:$E,Timesheet!$B:$B,C$1,Timesheet!$G:$G,$A51))</f>
        <v/>
      </c>
      <c r="D51" s="6">
        <f>IF($D$1="","",SUMIFS(Timesheet!$E:$E,Timesheet!$B:$B,D$1,Timesheet!$G:$G,$A51))</f>
        <v/>
      </c>
      <c r="E51" s="6">
        <f>IF($E$1="","",SUMIFS(Timesheet!$E:$E,Timesheet!$B:$B,E$1,Timesheet!$G:$G,$A51))</f>
        <v/>
      </c>
      <c r="F51" s="6">
        <f>SUM(B51:E51)</f>
        <v/>
      </c>
      <c r="G51" s="6">
        <f>COUNTA(StaffList)*7.5*5</f>
        <v/>
      </c>
      <c r="H51" s="6">
        <f>F51-G51</f>
        <v/>
      </c>
    </row>
    <row r="52">
      <c r="A52" s="7">
        <f>A51+7</f>
        <v/>
      </c>
      <c r="B52" s="6">
        <f>IF($B$1="","",SUMIFS(Timesheet!$E:$E,Timesheet!$B:$B,B$1,Timesheet!$G:$G,$A52))</f>
        <v/>
      </c>
      <c r="C52" s="6">
        <f>IF($C$1="","",SUMIFS(Timesheet!$E:$E,Timesheet!$B:$B,C$1,Timesheet!$G:$G,$A52))</f>
        <v/>
      </c>
      <c r="D52" s="6">
        <f>IF($D$1="","",SUMIFS(Timesheet!$E:$E,Timesheet!$B:$B,D$1,Timesheet!$G:$G,$A52))</f>
        <v/>
      </c>
      <c r="E52" s="6">
        <f>IF($E$1="","",SUMIFS(Timesheet!$E:$E,Timesheet!$B:$B,E$1,Timesheet!$G:$G,$A52))</f>
        <v/>
      </c>
      <c r="F52" s="6">
        <f>SUM(B52:E52)</f>
        <v/>
      </c>
      <c r="G52" s="6">
        <f>COUNTA(StaffList)*7.5*5</f>
        <v/>
      </c>
      <c r="H52" s="6">
        <f>F52-G52</f>
        <v/>
      </c>
    </row>
    <row r="53">
      <c r="A53" s="7">
        <f>A52+7</f>
        <v/>
      </c>
      <c r="B53" s="6">
        <f>IF($B$1="","",SUMIFS(Timesheet!$E:$E,Timesheet!$B:$B,B$1,Timesheet!$G:$G,$A53))</f>
        <v/>
      </c>
      <c r="C53" s="6">
        <f>IF($C$1="","",SUMIFS(Timesheet!$E:$E,Timesheet!$B:$B,C$1,Timesheet!$G:$G,$A53))</f>
        <v/>
      </c>
      <c r="D53" s="6">
        <f>IF($D$1="","",SUMIFS(Timesheet!$E:$E,Timesheet!$B:$B,D$1,Timesheet!$G:$G,$A53))</f>
        <v/>
      </c>
      <c r="E53" s="6">
        <f>IF($E$1="","",SUMIFS(Timesheet!$E:$E,Timesheet!$B:$B,E$1,Timesheet!$G:$G,$A53))</f>
        <v/>
      </c>
      <c r="F53" s="6">
        <f>SUM(B53:E53)</f>
        <v/>
      </c>
      <c r="G53" s="6">
        <f>COUNTA(StaffList)*7.5*5</f>
        <v/>
      </c>
      <c r="H53" s="6">
        <f>F53-G53</f>
        <v/>
      </c>
    </row>
    <row r="54">
      <c r="A54" s="7">
        <f>A53+7</f>
        <v/>
      </c>
      <c r="B54" s="6">
        <f>IF($B$1="","",SUMIFS(Timesheet!$E:$E,Timesheet!$B:$B,B$1,Timesheet!$G:$G,$A54))</f>
        <v/>
      </c>
      <c r="C54" s="6">
        <f>IF($C$1="","",SUMIFS(Timesheet!$E:$E,Timesheet!$B:$B,C$1,Timesheet!$G:$G,$A54))</f>
        <v/>
      </c>
      <c r="D54" s="6">
        <f>IF($D$1="","",SUMIFS(Timesheet!$E:$E,Timesheet!$B:$B,D$1,Timesheet!$G:$G,$A54))</f>
        <v/>
      </c>
      <c r="E54" s="6">
        <f>IF($E$1="","",SUMIFS(Timesheet!$E:$E,Timesheet!$B:$B,E$1,Timesheet!$G:$G,$A54))</f>
        <v/>
      </c>
      <c r="F54" s="6">
        <f>SUM(B54:E54)</f>
        <v/>
      </c>
      <c r="G54" s="6">
        <f>COUNTA(StaffList)*7.5*5</f>
        <v/>
      </c>
      <c r="H54" s="6">
        <f>F54-G54</f>
        <v/>
      </c>
    </row>
    <row r="55">
      <c r="A55" s="7">
        <f>A54+7</f>
        <v/>
      </c>
      <c r="B55" s="6">
        <f>IF($B$1="","",SUMIFS(Timesheet!$E:$E,Timesheet!$B:$B,B$1,Timesheet!$G:$G,$A55))</f>
        <v/>
      </c>
      <c r="C55" s="6">
        <f>IF($C$1="","",SUMIFS(Timesheet!$E:$E,Timesheet!$B:$B,C$1,Timesheet!$G:$G,$A55))</f>
        <v/>
      </c>
      <c r="D55" s="6">
        <f>IF($D$1="","",SUMIFS(Timesheet!$E:$E,Timesheet!$B:$B,D$1,Timesheet!$G:$G,$A55))</f>
        <v/>
      </c>
      <c r="E55" s="6">
        <f>IF($E$1="","",SUMIFS(Timesheet!$E:$E,Timesheet!$B:$B,E$1,Timesheet!$G:$G,$A55))</f>
        <v/>
      </c>
      <c r="F55" s="6">
        <f>SUM(B55:E55)</f>
        <v/>
      </c>
      <c r="G55" s="6">
        <f>COUNTA(StaffList)*7.5*5</f>
        <v/>
      </c>
      <c r="H55" s="6">
        <f>F55-G55</f>
        <v/>
      </c>
    </row>
    <row r="56">
      <c r="A56" s="7">
        <f>A55+7</f>
        <v/>
      </c>
      <c r="B56" s="6">
        <f>IF($B$1="","",SUMIFS(Timesheet!$E:$E,Timesheet!$B:$B,B$1,Timesheet!$G:$G,$A56))</f>
        <v/>
      </c>
      <c r="C56" s="6">
        <f>IF($C$1="","",SUMIFS(Timesheet!$E:$E,Timesheet!$B:$B,C$1,Timesheet!$G:$G,$A56))</f>
        <v/>
      </c>
      <c r="D56" s="6">
        <f>IF($D$1="","",SUMIFS(Timesheet!$E:$E,Timesheet!$B:$B,D$1,Timesheet!$G:$G,$A56))</f>
        <v/>
      </c>
      <c r="E56" s="6">
        <f>IF($E$1="","",SUMIFS(Timesheet!$E:$E,Timesheet!$B:$B,E$1,Timesheet!$G:$G,$A56))</f>
        <v/>
      </c>
      <c r="F56" s="6">
        <f>SUM(B56:E56)</f>
        <v/>
      </c>
      <c r="G56" s="6">
        <f>COUNTA(StaffList)*7.5*5</f>
        <v/>
      </c>
      <c r="H56" s="6">
        <f>F56-G56</f>
        <v/>
      </c>
    </row>
    <row r="57">
      <c r="A57" s="7">
        <f>A56+7</f>
        <v/>
      </c>
      <c r="B57" s="6">
        <f>IF($B$1="","",SUMIFS(Timesheet!$E:$E,Timesheet!$B:$B,B$1,Timesheet!$G:$G,$A57))</f>
        <v/>
      </c>
      <c r="C57" s="6">
        <f>IF($C$1="","",SUMIFS(Timesheet!$E:$E,Timesheet!$B:$B,C$1,Timesheet!$G:$G,$A57))</f>
        <v/>
      </c>
      <c r="D57" s="6">
        <f>IF($D$1="","",SUMIFS(Timesheet!$E:$E,Timesheet!$B:$B,D$1,Timesheet!$G:$G,$A57))</f>
        <v/>
      </c>
      <c r="E57" s="6">
        <f>IF($E$1="","",SUMIFS(Timesheet!$E:$E,Timesheet!$B:$B,E$1,Timesheet!$G:$G,$A57))</f>
        <v/>
      </c>
      <c r="F57" s="6">
        <f>SUM(B57:E57)</f>
        <v/>
      </c>
      <c r="G57" s="6">
        <f>COUNTA(StaffList)*7.5*5</f>
        <v/>
      </c>
      <c r="H57" s="6">
        <f>F57-G57</f>
        <v/>
      </c>
    </row>
    <row r="58">
      <c r="A58" s="7">
        <f>A57+7</f>
        <v/>
      </c>
      <c r="B58" s="6">
        <f>IF($B$1="","",SUMIFS(Timesheet!$E:$E,Timesheet!$B:$B,B$1,Timesheet!$G:$G,$A58))</f>
        <v/>
      </c>
      <c r="C58" s="6">
        <f>IF($C$1="","",SUMIFS(Timesheet!$E:$E,Timesheet!$B:$B,C$1,Timesheet!$G:$G,$A58))</f>
        <v/>
      </c>
      <c r="D58" s="6">
        <f>IF($D$1="","",SUMIFS(Timesheet!$E:$E,Timesheet!$B:$B,D$1,Timesheet!$G:$G,$A58))</f>
        <v/>
      </c>
      <c r="E58" s="6">
        <f>IF($E$1="","",SUMIFS(Timesheet!$E:$E,Timesheet!$B:$B,E$1,Timesheet!$G:$G,$A58))</f>
        <v/>
      </c>
      <c r="F58" s="6">
        <f>SUM(B58:E58)</f>
        <v/>
      </c>
      <c r="G58" s="6">
        <f>COUNTA(StaffList)*7.5*5</f>
        <v/>
      </c>
      <c r="H58" s="6">
        <f>F58-G58</f>
        <v/>
      </c>
    </row>
    <row r="59">
      <c r="A59" s="7">
        <f>A58+7</f>
        <v/>
      </c>
      <c r="B59" s="6">
        <f>IF($B$1="","",SUMIFS(Timesheet!$E:$E,Timesheet!$B:$B,B$1,Timesheet!$G:$G,$A59))</f>
        <v/>
      </c>
      <c r="C59" s="6">
        <f>IF($C$1="","",SUMIFS(Timesheet!$E:$E,Timesheet!$B:$B,C$1,Timesheet!$G:$G,$A59))</f>
        <v/>
      </c>
      <c r="D59" s="6">
        <f>IF($D$1="","",SUMIFS(Timesheet!$E:$E,Timesheet!$B:$B,D$1,Timesheet!$G:$G,$A59))</f>
        <v/>
      </c>
      <c r="E59" s="6">
        <f>IF($E$1="","",SUMIFS(Timesheet!$E:$E,Timesheet!$B:$B,E$1,Timesheet!$G:$G,$A59))</f>
        <v/>
      </c>
      <c r="F59" s="6">
        <f>SUM(B59:E59)</f>
        <v/>
      </c>
      <c r="G59" s="6">
        <f>COUNTA(StaffList)*7.5*5</f>
        <v/>
      </c>
      <c r="H59" s="6">
        <f>F59-G59</f>
        <v/>
      </c>
    </row>
    <row r="60">
      <c r="A60" s="7">
        <f>A59+7</f>
        <v/>
      </c>
      <c r="B60" s="6">
        <f>IF($B$1="","",SUMIFS(Timesheet!$E:$E,Timesheet!$B:$B,B$1,Timesheet!$G:$G,$A60))</f>
        <v/>
      </c>
      <c r="C60" s="6">
        <f>IF($C$1="","",SUMIFS(Timesheet!$E:$E,Timesheet!$B:$B,C$1,Timesheet!$G:$G,$A60))</f>
        <v/>
      </c>
      <c r="D60" s="6">
        <f>IF($D$1="","",SUMIFS(Timesheet!$E:$E,Timesheet!$B:$B,D$1,Timesheet!$G:$G,$A60))</f>
        <v/>
      </c>
      <c r="E60" s="6">
        <f>IF($E$1="","",SUMIFS(Timesheet!$E:$E,Timesheet!$B:$B,E$1,Timesheet!$G:$G,$A60))</f>
        <v/>
      </c>
      <c r="F60" s="6">
        <f>SUM(B60:E60)</f>
        <v/>
      </c>
      <c r="G60" s="6">
        <f>COUNTA(StaffList)*7.5*5</f>
        <v/>
      </c>
      <c r="H60" s="6">
        <f>F60-G60</f>
        <v/>
      </c>
    </row>
    <row r="61">
      <c r="A61" s="7">
        <f>A60+7</f>
        <v/>
      </c>
      <c r="B61" s="6">
        <f>IF($B$1="","",SUMIFS(Timesheet!$E:$E,Timesheet!$B:$B,B$1,Timesheet!$G:$G,$A61))</f>
        <v/>
      </c>
      <c r="C61" s="6">
        <f>IF($C$1="","",SUMIFS(Timesheet!$E:$E,Timesheet!$B:$B,C$1,Timesheet!$G:$G,$A61))</f>
        <v/>
      </c>
      <c r="D61" s="6">
        <f>IF($D$1="","",SUMIFS(Timesheet!$E:$E,Timesheet!$B:$B,D$1,Timesheet!$G:$G,$A61))</f>
        <v/>
      </c>
      <c r="E61" s="6">
        <f>IF($E$1="","",SUMIFS(Timesheet!$E:$E,Timesheet!$B:$B,E$1,Timesheet!$G:$G,$A61))</f>
        <v/>
      </c>
      <c r="F61" s="6">
        <f>SUM(B61:E61)</f>
        <v/>
      </c>
      <c r="G61" s="6">
        <f>COUNTA(StaffList)*7.5*5</f>
        <v/>
      </c>
      <c r="H61" s="6">
        <f>F61-G61</f>
        <v/>
      </c>
    </row>
    <row r="63" ht="30" customHeight="1">
      <c r="A63" s="8" t="inlineStr">
        <is>
          <t>Row 2's 'Week Ending' defaults to the current week (Sunday). Overwrite it with your first week if you want the tracker to start earlier - every row below rolls forward automatically in 7 day steps.</t>
        </is>
      </c>
    </row>
  </sheetData>
  <mergeCells count="1">
    <mergeCell ref="A63:H63"/>
  </mergeCells>
  <conditionalFormatting sqref="H2:H61">
    <cfRule type="expression" priority="1" dxfId="0">
      <formula>H2=0</formula>
    </cfRule>
    <cfRule type="expression" priority="2" dxfId="2">
      <formula>H2&lt;0</formula>
    </cfRule>
    <cfRule type="expression" priority="3" dxfId="1">
      <formula>H2&gt;0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16" customWidth="1" min="3" max="3"/>
    <col width="16" customWidth="1" min="4" max="4"/>
    <col width="16" customWidth="1" min="5" max="5"/>
    <col width="16" customWidth="1" min="6" max="6"/>
    <col width="16" customWidth="1" min="7" max="7"/>
  </cols>
  <sheetData>
    <row r="1">
      <c r="A1" s="4" t="inlineStr">
        <is>
          <t>Allocation</t>
        </is>
      </c>
      <c r="B1" s="4" t="inlineStr">
        <is>
          <t>Type</t>
        </is>
      </c>
      <c r="C1" s="4">
        <f>Lists!$A$2</f>
        <v/>
      </c>
      <c r="D1" s="4">
        <f>Lists!$A$3</f>
        <v/>
      </c>
      <c r="E1" s="4">
        <f>Lists!$A$4</f>
        <v/>
      </c>
      <c r="F1" s="4">
        <f>Lists!$A$5</f>
        <v/>
      </c>
      <c r="G1" s="4" t="inlineStr">
        <is>
          <t>Total Hours</t>
        </is>
      </c>
    </row>
    <row r="2">
      <c r="A2" s="6">
        <f>IFERROR(INDEX(AllocationList,1),"")</f>
        <v/>
      </c>
      <c r="B2" s="6">
        <f>IF($A2="","",IFERROR(VLOOKUP($A2,Lists!$C:$D,2,FALSE),""))</f>
        <v/>
      </c>
      <c r="C2" s="6">
        <f>IF($A2="","",SUMIFS(Timesheet!$E:$E,Timesheet!$C:$C,$A2,Timesheet!$B:$B,C$1))</f>
        <v/>
      </c>
      <c r="D2" s="6">
        <f>IF($A2="","",SUMIFS(Timesheet!$E:$E,Timesheet!$C:$C,$A2,Timesheet!$B:$B,D$1))</f>
        <v/>
      </c>
      <c r="E2" s="6">
        <f>IF($A2="","",SUMIFS(Timesheet!$E:$E,Timesheet!$C:$C,$A2,Timesheet!$B:$B,E$1))</f>
        <v/>
      </c>
      <c r="F2" s="6">
        <f>IF($A2="","",SUMIFS(Timesheet!$E:$E,Timesheet!$C:$C,$A2,Timesheet!$B:$B,F$1))</f>
        <v/>
      </c>
      <c r="G2" s="6">
        <f>IF($A2="","",SUM(C2:F2))</f>
        <v/>
      </c>
    </row>
    <row r="3">
      <c r="A3" s="6">
        <f>IFERROR(INDEX(AllocationList,2),"")</f>
        <v/>
      </c>
      <c r="B3" s="6">
        <f>IF($A3="","",IFERROR(VLOOKUP($A3,Lists!$C:$D,2,FALSE),""))</f>
        <v/>
      </c>
      <c r="C3" s="6">
        <f>IF($A3="","",SUMIFS(Timesheet!$E:$E,Timesheet!$C:$C,$A3,Timesheet!$B:$B,C$1))</f>
        <v/>
      </c>
      <c r="D3" s="6">
        <f>IF($A3="","",SUMIFS(Timesheet!$E:$E,Timesheet!$C:$C,$A3,Timesheet!$B:$B,D$1))</f>
        <v/>
      </c>
      <c r="E3" s="6">
        <f>IF($A3="","",SUMIFS(Timesheet!$E:$E,Timesheet!$C:$C,$A3,Timesheet!$B:$B,E$1))</f>
        <v/>
      </c>
      <c r="F3" s="6">
        <f>IF($A3="","",SUMIFS(Timesheet!$E:$E,Timesheet!$C:$C,$A3,Timesheet!$B:$B,F$1))</f>
        <v/>
      </c>
      <c r="G3" s="6">
        <f>IF($A3="","",SUM(C3:F3))</f>
        <v/>
      </c>
    </row>
    <row r="4">
      <c r="A4" s="6">
        <f>IFERROR(INDEX(AllocationList,3),"")</f>
        <v/>
      </c>
      <c r="B4" s="6">
        <f>IF($A4="","",IFERROR(VLOOKUP($A4,Lists!$C:$D,2,FALSE),""))</f>
        <v/>
      </c>
      <c r="C4" s="6">
        <f>IF($A4="","",SUMIFS(Timesheet!$E:$E,Timesheet!$C:$C,$A4,Timesheet!$B:$B,C$1))</f>
        <v/>
      </c>
      <c r="D4" s="6">
        <f>IF($A4="","",SUMIFS(Timesheet!$E:$E,Timesheet!$C:$C,$A4,Timesheet!$B:$B,D$1))</f>
        <v/>
      </c>
      <c r="E4" s="6">
        <f>IF($A4="","",SUMIFS(Timesheet!$E:$E,Timesheet!$C:$C,$A4,Timesheet!$B:$B,E$1))</f>
        <v/>
      </c>
      <c r="F4" s="6">
        <f>IF($A4="","",SUMIFS(Timesheet!$E:$E,Timesheet!$C:$C,$A4,Timesheet!$B:$B,F$1))</f>
        <v/>
      </c>
      <c r="G4" s="6">
        <f>IF($A4="","",SUM(C4:F4))</f>
        <v/>
      </c>
    </row>
    <row r="5">
      <c r="A5" s="6">
        <f>IFERROR(INDEX(AllocationList,4),"")</f>
        <v/>
      </c>
      <c r="B5" s="6">
        <f>IF($A5="","",IFERROR(VLOOKUP($A5,Lists!$C:$D,2,FALSE),""))</f>
        <v/>
      </c>
      <c r="C5" s="6">
        <f>IF($A5="","",SUMIFS(Timesheet!$E:$E,Timesheet!$C:$C,$A5,Timesheet!$B:$B,C$1))</f>
        <v/>
      </c>
      <c r="D5" s="6">
        <f>IF($A5="","",SUMIFS(Timesheet!$E:$E,Timesheet!$C:$C,$A5,Timesheet!$B:$B,D$1))</f>
        <v/>
      </c>
      <c r="E5" s="6">
        <f>IF($A5="","",SUMIFS(Timesheet!$E:$E,Timesheet!$C:$C,$A5,Timesheet!$B:$B,E$1))</f>
        <v/>
      </c>
      <c r="F5" s="6">
        <f>IF($A5="","",SUMIFS(Timesheet!$E:$E,Timesheet!$C:$C,$A5,Timesheet!$B:$B,F$1))</f>
        <v/>
      </c>
      <c r="G5" s="6">
        <f>IF($A5="","",SUM(C5:F5))</f>
        <v/>
      </c>
    </row>
    <row r="6">
      <c r="A6" s="6">
        <f>IFERROR(INDEX(AllocationList,5),"")</f>
        <v/>
      </c>
      <c r="B6" s="6">
        <f>IF($A6="","",IFERROR(VLOOKUP($A6,Lists!$C:$D,2,FALSE),""))</f>
        <v/>
      </c>
      <c r="C6" s="6">
        <f>IF($A6="","",SUMIFS(Timesheet!$E:$E,Timesheet!$C:$C,$A6,Timesheet!$B:$B,C$1))</f>
        <v/>
      </c>
      <c r="D6" s="6">
        <f>IF($A6="","",SUMIFS(Timesheet!$E:$E,Timesheet!$C:$C,$A6,Timesheet!$B:$B,D$1))</f>
        <v/>
      </c>
      <c r="E6" s="6">
        <f>IF($A6="","",SUMIFS(Timesheet!$E:$E,Timesheet!$C:$C,$A6,Timesheet!$B:$B,E$1))</f>
        <v/>
      </c>
      <c r="F6" s="6">
        <f>IF($A6="","",SUMIFS(Timesheet!$E:$E,Timesheet!$C:$C,$A6,Timesheet!$B:$B,F$1))</f>
        <v/>
      </c>
      <c r="G6" s="6">
        <f>IF($A6="","",SUM(C6:F6))</f>
        <v/>
      </c>
    </row>
    <row r="7">
      <c r="A7" s="6">
        <f>IFERROR(INDEX(AllocationList,6),"")</f>
        <v/>
      </c>
      <c r="B7" s="6">
        <f>IF($A7="","",IFERROR(VLOOKUP($A7,Lists!$C:$D,2,FALSE),""))</f>
        <v/>
      </c>
      <c r="C7" s="6">
        <f>IF($A7="","",SUMIFS(Timesheet!$E:$E,Timesheet!$C:$C,$A7,Timesheet!$B:$B,C$1))</f>
        <v/>
      </c>
      <c r="D7" s="6">
        <f>IF($A7="","",SUMIFS(Timesheet!$E:$E,Timesheet!$C:$C,$A7,Timesheet!$B:$B,D$1))</f>
        <v/>
      </c>
      <c r="E7" s="6">
        <f>IF($A7="","",SUMIFS(Timesheet!$E:$E,Timesheet!$C:$C,$A7,Timesheet!$B:$B,E$1))</f>
        <v/>
      </c>
      <c r="F7" s="6">
        <f>IF($A7="","",SUMIFS(Timesheet!$E:$E,Timesheet!$C:$C,$A7,Timesheet!$B:$B,F$1))</f>
        <v/>
      </c>
      <c r="G7" s="6">
        <f>IF($A7="","",SUM(C7:F7))</f>
        <v/>
      </c>
    </row>
    <row r="8">
      <c r="A8" s="6">
        <f>IFERROR(INDEX(AllocationList,7),"")</f>
        <v/>
      </c>
      <c r="B8" s="6">
        <f>IF($A8="","",IFERROR(VLOOKUP($A8,Lists!$C:$D,2,FALSE),""))</f>
        <v/>
      </c>
      <c r="C8" s="6">
        <f>IF($A8="","",SUMIFS(Timesheet!$E:$E,Timesheet!$C:$C,$A8,Timesheet!$B:$B,C$1))</f>
        <v/>
      </c>
      <c r="D8" s="6">
        <f>IF($A8="","",SUMIFS(Timesheet!$E:$E,Timesheet!$C:$C,$A8,Timesheet!$B:$B,D$1))</f>
        <v/>
      </c>
      <c r="E8" s="6">
        <f>IF($A8="","",SUMIFS(Timesheet!$E:$E,Timesheet!$C:$C,$A8,Timesheet!$B:$B,E$1))</f>
        <v/>
      </c>
      <c r="F8" s="6">
        <f>IF($A8="","",SUMIFS(Timesheet!$E:$E,Timesheet!$C:$C,$A8,Timesheet!$B:$B,F$1))</f>
        <v/>
      </c>
      <c r="G8" s="6">
        <f>IF($A8="","",SUM(C8:F8))</f>
        <v/>
      </c>
    </row>
    <row r="9">
      <c r="A9" s="6">
        <f>IFERROR(INDEX(AllocationList,8),"")</f>
        <v/>
      </c>
      <c r="B9" s="6">
        <f>IF($A9="","",IFERROR(VLOOKUP($A9,Lists!$C:$D,2,FALSE),""))</f>
        <v/>
      </c>
      <c r="C9" s="6">
        <f>IF($A9="","",SUMIFS(Timesheet!$E:$E,Timesheet!$C:$C,$A9,Timesheet!$B:$B,C$1))</f>
        <v/>
      </c>
      <c r="D9" s="6">
        <f>IF($A9="","",SUMIFS(Timesheet!$E:$E,Timesheet!$C:$C,$A9,Timesheet!$B:$B,D$1))</f>
        <v/>
      </c>
      <c r="E9" s="6">
        <f>IF($A9="","",SUMIFS(Timesheet!$E:$E,Timesheet!$C:$C,$A9,Timesheet!$B:$B,E$1))</f>
        <v/>
      </c>
      <c r="F9" s="6">
        <f>IF($A9="","",SUMIFS(Timesheet!$E:$E,Timesheet!$C:$C,$A9,Timesheet!$B:$B,F$1))</f>
        <v/>
      </c>
      <c r="G9" s="6">
        <f>IF($A9="","",SUM(C9:F9))</f>
        <v/>
      </c>
    </row>
    <row r="10">
      <c r="A10" s="6">
        <f>IFERROR(INDEX(AllocationList,9),"")</f>
        <v/>
      </c>
      <c r="B10" s="6">
        <f>IF($A10="","",IFERROR(VLOOKUP($A10,Lists!$C:$D,2,FALSE),""))</f>
        <v/>
      </c>
      <c r="C10" s="6">
        <f>IF($A10="","",SUMIFS(Timesheet!$E:$E,Timesheet!$C:$C,$A10,Timesheet!$B:$B,C$1))</f>
        <v/>
      </c>
      <c r="D10" s="6">
        <f>IF($A10="","",SUMIFS(Timesheet!$E:$E,Timesheet!$C:$C,$A10,Timesheet!$B:$B,D$1))</f>
        <v/>
      </c>
      <c r="E10" s="6">
        <f>IF($A10="","",SUMIFS(Timesheet!$E:$E,Timesheet!$C:$C,$A10,Timesheet!$B:$B,E$1))</f>
        <v/>
      </c>
      <c r="F10" s="6">
        <f>IF($A10="","",SUMIFS(Timesheet!$E:$E,Timesheet!$C:$C,$A10,Timesheet!$B:$B,F$1))</f>
        <v/>
      </c>
      <c r="G10" s="6">
        <f>IF($A10="","",SUM(C10:F10))</f>
        <v/>
      </c>
    </row>
    <row r="11">
      <c r="A11" s="6">
        <f>IFERROR(INDEX(AllocationList,10),"")</f>
        <v/>
      </c>
      <c r="B11" s="6">
        <f>IF($A11="","",IFERROR(VLOOKUP($A11,Lists!$C:$D,2,FALSE),""))</f>
        <v/>
      </c>
      <c r="C11" s="6">
        <f>IF($A11="","",SUMIFS(Timesheet!$E:$E,Timesheet!$C:$C,$A11,Timesheet!$B:$B,C$1))</f>
        <v/>
      </c>
      <c r="D11" s="6">
        <f>IF($A11="","",SUMIFS(Timesheet!$E:$E,Timesheet!$C:$C,$A11,Timesheet!$B:$B,D$1))</f>
        <v/>
      </c>
      <c r="E11" s="6">
        <f>IF($A11="","",SUMIFS(Timesheet!$E:$E,Timesheet!$C:$C,$A11,Timesheet!$B:$B,E$1))</f>
        <v/>
      </c>
      <c r="F11" s="6">
        <f>IF($A11="","",SUMIFS(Timesheet!$E:$E,Timesheet!$C:$C,$A11,Timesheet!$B:$B,F$1))</f>
        <v/>
      </c>
      <c r="G11" s="6">
        <f>IF($A11="","",SUM(C11:F11))</f>
        <v/>
      </c>
    </row>
    <row r="12">
      <c r="A12" s="6">
        <f>IFERROR(INDEX(AllocationList,11),"")</f>
        <v/>
      </c>
      <c r="B12" s="6">
        <f>IF($A12="","",IFERROR(VLOOKUP($A12,Lists!$C:$D,2,FALSE),""))</f>
        <v/>
      </c>
      <c r="C12" s="6">
        <f>IF($A12="","",SUMIFS(Timesheet!$E:$E,Timesheet!$C:$C,$A12,Timesheet!$B:$B,C$1))</f>
        <v/>
      </c>
      <c r="D12" s="6">
        <f>IF($A12="","",SUMIFS(Timesheet!$E:$E,Timesheet!$C:$C,$A12,Timesheet!$B:$B,D$1))</f>
        <v/>
      </c>
      <c r="E12" s="6">
        <f>IF($A12="","",SUMIFS(Timesheet!$E:$E,Timesheet!$C:$C,$A12,Timesheet!$B:$B,E$1))</f>
        <v/>
      </c>
      <c r="F12" s="6">
        <f>IF($A12="","",SUMIFS(Timesheet!$E:$E,Timesheet!$C:$C,$A12,Timesheet!$B:$B,F$1))</f>
        <v/>
      </c>
      <c r="G12" s="6">
        <f>IF($A12="","",SUM(C12:F12))</f>
        <v/>
      </c>
    </row>
    <row r="13">
      <c r="A13" s="6">
        <f>IFERROR(INDEX(AllocationList,12),"")</f>
        <v/>
      </c>
      <c r="B13" s="6">
        <f>IF($A13="","",IFERROR(VLOOKUP($A13,Lists!$C:$D,2,FALSE),""))</f>
        <v/>
      </c>
      <c r="C13" s="6">
        <f>IF($A13="","",SUMIFS(Timesheet!$E:$E,Timesheet!$C:$C,$A13,Timesheet!$B:$B,C$1))</f>
        <v/>
      </c>
      <c r="D13" s="6">
        <f>IF($A13="","",SUMIFS(Timesheet!$E:$E,Timesheet!$C:$C,$A13,Timesheet!$B:$B,D$1))</f>
        <v/>
      </c>
      <c r="E13" s="6">
        <f>IF($A13="","",SUMIFS(Timesheet!$E:$E,Timesheet!$C:$C,$A13,Timesheet!$B:$B,E$1))</f>
        <v/>
      </c>
      <c r="F13" s="6">
        <f>IF($A13="","",SUMIFS(Timesheet!$E:$E,Timesheet!$C:$C,$A13,Timesheet!$B:$B,F$1))</f>
        <v/>
      </c>
      <c r="G13" s="6">
        <f>IF($A13="","",SUM(C13:F13))</f>
        <v/>
      </c>
    </row>
    <row r="14">
      <c r="A14" s="6">
        <f>IFERROR(INDEX(AllocationList,13),"")</f>
        <v/>
      </c>
      <c r="B14" s="6">
        <f>IF($A14="","",IFERROR(VLOOKUP($A14,Lists!$C:$D,2,FALSE),""))</f>
        <v/>
      </c>
      <c r="C14" s="6">
        <f>IF($A14="","",SUMIFS(Timesheet!$E:$E,Timesheet!$C:$C,$A14,Timesheet!$B:$B,C$1))</f>
        <v/>
      </c>
      <c r="D14" s="6">
        <f>IF($A14="","",SUMIFS(Timesheet!$E:$E,Timesheet!$C:$C,$A14,Timesheet!$B:$B,D$1))</f>
        <v/>
      </c>
      <c r="E14" s="6">
        <f>IF($A14="","",SUMIFS(Timesheet!$E:$E,Timesheet!$C:$C,$A14,Timesheet!$B:$B,E$1))</f>
        <v/>
      </c>
      <c r="F14" s="6">
        <f>IF($A14="","",SUMIFS(Timesheet!$E:$E,Timesheet!$C:$C,$A14,Timesheet!$B:$B,F$1))</f>
        <v/>
      </c>
      <c r="G14" s="6">
        <f>IF($A14="","",SUM(C14:F14))</f>
        <v/>
      </c>
    </row>
    <row r="15">
      <c r="A15" s="6">
        <f>IFERROR(INDEX(AllocationList,14),"")</f>
        <v/>
      </c>
      <c r="B15" s="6">
        <f>IF($A15="","",IFERROR(VLOOKUP($A15,Lists!$C:$D,2,FALSE),""))</f>
        <v/>
      </c>
      <c r="C15" s="6">
        <f>IF($A15="","",SUMIFS(Timesheet!$E:$E,Timesheet!$C:$C,$A15,Timesheet!$B:$B,C$1))</f>
        <v/>
      </c>
      <c r="D15" s="6">
        <f>IF($A15="","",SUMIFS(Timesheet!$E:$E,Timesheet!$C:$C,$A15,Timesheet!$B:$B,D$1))</f>
        <v/>
      </c>
      <c r="E15" s="6">
        <f>IF($A15="","",SUMIFS(Timesheet!$E:$E,Timesheet!$C:$C,$A15,Timesheet!$B:$B,E$1))</f>
        <v/>
      </c>
      <c r="F15" s="6">
        <f>IF($A15="","",SUMIFS(Timesheet!$E:$E,Timesheet!$C:$C,$A15,Timesheet!$B:$B,F$1))</f>
        <v/>
      </c>
      <c r="G15" s="6">
        <f>IF($A15="","",SUM(C15:F15))</f>
        <v/>
      </c>
    </row>
    <row r="16">
      <c r="A16" s="6">
        <f>IFERROR(INDEX(AllocationList,15),"")</f>
        <v/>
      </c>
      <c r="B16" s="6">
        <f>IF($A16="","",IFERROR(VLOOKUP($A16,Lists!$C:$D,2,FALSE),""))</f>
        <v/>
      </c>
      <c r="C16" s="6">
        <f>IF($A16="","",SUMIFS(Timesheet!$E:$E,Timesheet!$C:$C,$A16,Timesheet!$B:$B,C$1))</f>
        <v/>
      </c>
      <c r="D16" s="6">
        <f>IF($A16="","",SUMIFS(Timesheet!$E:$E,Timesheet!$C:$C,$A16,Timesheet!$B:$B,D$1))</f>
        <v/>
      </c>
      <c r="E16" s="6">
        <f>IF($A16="","",SUMIFS(Timesheet!$E:$E,Timesheet!$C:$C,$A16,Timesheet!$B:$B,E$1))</f>
        <v/>
      </c>
      <c r="F16" s="6">
        <f>IF($A16="","",SUMIFS(Timesheet!$E:$E,Timesheet!$C:$C,$A16,Timesheet!$B:$B,F$1))</f>
        <v/>
      </c>
      <c r="G16" s="6">
        <f>IF($A16="","",SUM(C16:F16))</f>
        <v/>
      </c>
    </row>
    <row r="17">
      <c r="A17" s="6">
        <f>IFERROR(INDEX(AllocationList,16),"")</f>
        <v/>
      </c>
      <c r="B17" s="6">
        <f>IF($A17="","",IFERROR(VLOOKUP($A17,Lists!$C:$D,2,FALSE),""))</f>
        <v/>
      </c>
      <c r="C17" s="6">
        <f>IF($A17="","",SUMIFS(Timesheet!$E:$E,Timesheet!$C:$C,$A17,Timesheet!$B:$B,C$1))</f>
        <v/>
      </c>
      <c r="D17" s="6">
        <f>IF($A17="","",SUMIFS(Timesheet!$E:$E,Timesheet!$C:$C,$A17,Timesheet!$B:$B,D$1))</f>
        <v/>
      </c>
      <c r="E17" s="6">
        <f>IF($A17="","",SUMIFS(Timesheet!$E:$E,Timesheet!$C:$C,$A17,Timesheet!$B:$B,E$1))</f>
        <v/>
      </c>
      <c r="F17" s="6">
        <f>IF($A17="","",SUMIFS(Timesheet!$E:$E,Timesheet!$C:$C,$A17,Timesheet!$B:$B,F$1))</f>
        <v/>
      </c>
      <c r="G17" s="6">
        <f>IF($A17="","",SUM(C17:F17))</f>
        <v/>
      </c>
    </row>
    <row r="18">
      <c r="A18" s="6">
        <f>IFERROR(INDEX(AllocationList,17),"")</f>
        <v/>
      </c>
      <c r="B18" s="6">
        <f>IF($A18="","",IFERROR(VLOOKUP($A18,Lists!$C:$D,2,FALSE),""))</f>
        <v/>
      </c>
      <c r="C18" s="6">
        <f>IF($A18="","",SUMIFS(Timesheet!$E:$E,Timesheet!$C:$C,$A18,Timesheet!$B:$B,C$1))</f>
        <v/>
      </c>
      <c r="D18" s="6">
        <f>IF($A18="","",SUMIFS(Timesheet!$E:$E,Timesheet!$C:$C,$A18,Timesheet!$B:$B,D$1))</f>
        <v/>
      </c>
      <c r="E18" s="6">
        <f>IF($A18="","",SUMIFS(Timesheet!$E:$E,Timesheet!$C:$C,$A18,Timesheet!$B:$B,E$1))</f>
        <v/>
      </c>
      <c r="F18" s="6">
        <f>IF($A18="","",SUMIFS(Timesheet!$E:$E,Timesheet!$C:$C,$A18,Timesheet!$B:$B,F$1))</f>
        <v/>
      </c>
      <c r="G18" s="6">
        <f>IF($A18="","",SUM(C18:F18))</f>
        <v/>
      </c>
    </row>
    <row r="19">
      <c r="A19" s="6">
        <f>IFERROR(INDEX(AllocationList,18),"")</f>
        <v/>
      </c>
      <c r="B19" s="6">
        <f>IF($A19="","",IFERROR(VLOOKUP($A19,Lists!$C:$D,2,FALSE),""))</f>
        <v/>
      </c>
      <c r="C19" s="6">
        <f>IF($A19="","",SUMIFS(Timesheet!$E:$E,Timesheet!$C:$C,$A19,Timesheet!$B:$B,C$1))</f>
        <v/>
      </c>
      <c r="D19" s="6">
        <f>IF($A19="","",SUMIFS(Timesheet!$E:$E,Timesheet!$C:$C,$A19,Timesheet!$B:$B,D$1))</f>
        <v/>
      </c>
      <c r="E19" s="6">
        <f>IF($A19="","",SUMIFS(Timesheet!$E:$E,Timesheet!$C:$C,$A19,Timesheet!$B:$B,E$1))</f>
        <v/>
      </c>
      <c r="F19" s="6">
        <f>IF($A19="","",SUMIFS(Timesheet!$E:$E,Timesheet!$C:$C,$A19,Timesheet!$B:$B,F$1))</f>
        <v/>
      </c>
      <c r="G19" s="6">
        <f>IF($A19="","",SUM(C19:F19))</f>
        <v/>
      </c>
    </row>
    <row r="20">
      <c r="A20" s="6">
        <f>IFERROR(INDEX(AllocationList,19),"")</f>
        <v/>
      </c>
      <c r="B20" s="6">
        <f>IF($A20="","",IFERROR(VLOOKUP($A20,Lists!$C:$D,2,FALSE),""))</f>
        <v/>
      </c>
      <c r="C20" s="6">
        <f>IF($A20="","",SUMIFS(Timesheet!$E:$E,Timesheet!$C:$C,$A20,Timesheet!$B:$B,C$1))</f>
        <v/>
      </c>
      <c r="D20" s="6">
        <f>IF($A20="","",SUMIFS(Timesheet!$E:$E,Timesheet!$C:$C,$A20,Timesheet!$B:$B,D$1))</f>
        <v/>
      </c>
      <c r="E20" s="6">
        <f>IF($A20="","",SUMIFS(Timesheet!$E:$E,Timesheet!$C:$C,$A20,Timesheet!$B:$B,E$1))</f>
        <v/>
      </c>
      <c r="F20" s="6">
        <f>IF($A20="","",SUMIFS(Timesheet!$E:$E,Timesheet!$C:$C,$A20,Timesheet!$B:$B,F$1))</f>
        <v/>
      </c>
      <c r="G20" s="6">
        <f>IF($A20="","",SUM(C20:F20))</f>
        <v/>
      </c>
    </row>
    <row r="21">
      <c r="A21" s="6">
        <f>IFERROR(INDEX(AllocationList,20),"")</f>
        <v/>
      </c>
      <c r="B21" s="6">
        <f>IF($A21="","",IFERROR(VLOOKUP($A21,Lists!$C:$D,2,FALSE),""))</f>
        <v/>
      </c>
      <c r="C21" s="6">
        <f>IF($A21="","",SUMIFS(Timesheet!$E:$E,Timesheet!$C:$C,$A21,Timesheet!$B:$B,C$1))</f>
        <v/>
      </c>
      <c r="D21" s="6">
        <f>IF($A21="","",SUMIFS(Timesheet!$E:$E,Timesheet!$C:$C,$A21,Timesheet!$B:$B,D$1))</f>
        <v/>
      </c>
      <c r="E21" s="6">
        <f>IF($A21="","",SUMIFS(Timesheet!$E:$E,Timesheet!$C:$C,$A21,Timesheet!$B:$B,E$1))</f>
        <v/>
      </c>
      <c r="F21" s="6">
        <f>IF($A21="","",SUMIFS(Timesheet!$E:$E,Timesheet!$C:$C,$A21,Timesheet!$B:$B,F$1))</f>
        <v/>
      </c>
      <c r="G21" s="6">
        <f>IF($A21="","",SUM(C21:F21))</f>
        <v/>
      </c>
    </row>
    <row r="22">
      <c r="A22" s="8" t="inlineStr">
        <is>
          <t>20 rows are reserved above for allocations pulled from the Lists tab. If you add more than 20 projects/leave types, copy the last data row's formulas down further.</t>
        </is>
      </c>
    </row>
    <row r="23">
      <c r="A23" s="9" t="inlineStr">
        <is>
          <t>Grand Total</t>
        </is>
      </c>
      <c r="C23" s="9">
        <f>SUM(C2:C21)</f>
        <v/>
      </c>
      <c r="D23" s="9">
        <f>SUM(D2:D21)</f>
        <v/>
      </c>
      <c r="E23" s="9">
        <f>SUM(E2:E21)</f>
        <v/>
      </c>
      <c r="F23" s="9">
        <f>SUM(F2:F21)</f>
        <v/>
      </c>
      <c r="G23" s="9">
        <f>SUM(G2:G21)</f>
        <v/>
      </c>
    </row>
    <row r="25">
      <c r="A25" t="inlineStr">
        <is>
          <t>Total Project Hours</t>
        </is>
      </c>
      <c r="G25">
        <f>SUMIF($B$2:$B$21,"Project",$G$2:$G$21)</f>
        <v/>
      </c>
    </row>
    <row r="26">
      <c r="A26" t="inlineStr">
        <is>
          <t>Total Leave Hours</t>
        </is>
      </c>
      <c r="G26">
        <f>SUMIF($B$2:$B$21,"Leave",$G$2:$G$21)</f>
        <v/>
      </c>
    </row>
  </sheetData>
  <mergeCells count="1">
    <mergeCell ref="A22:G2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20" customWidth="1" min="1" max="1"/>
    <col width="16" customWidth="1" min="2" max="2"/>
    <col width="14" customWidth="1" min="3" max="3"/>
    <col width="14" customWidth="1" min="4" max="4"/>
    <col width="16" customWidth="1" min="5" max="5"/>
  </cols>
  <sheetData>
    <row r="1">
      <c r="A1" s="10" t="inlineStr">
        <is>
          <t>Team Snapshot</t>
        </is>
      </c>
    </row>
    <row r="3">
      <c r="A3" s="9" t="inlineStr">
        <is>
          <t>Current Week Ending:</t>
        </is>
      </c>
      <c r="B3" s="11">
        <f>TODAY()-WEEKDAY(TODAY(),3)+6</f>
        <v/>
      </c>
    </row>
    <row r="5">
      <c r="A5" s="4" t="inlineStr">
        <is>
          <t>Staff Name</t>
        </is>
      </c>
      <c r="B5" s="4" t="inlineStr">
        <is>
          <t>Hours This Week</t>
        </is>
      </c>
      <c r="C5" s="4" t="inlineStr">
        <is>
          <t>Target</t>
        </is>
      </c>
      <c r="D5" s="4" t="inlineStr">
        <is>
          <t>Variance</t>
        </is>
      </c>
      <c r="E5" s="4" t="inlineStr">
        <is>
          <t>Status</t>
        </is>
      </c>
    </row>
    <row r="6">
      <c r="A6" s="6">
        <f>Lists!$A$2</f>
        <v/>
      </c>
      <c r="B6" s="6">
        <f>IF($A6="","",SUMIFS(Timesheet!$E:$E,Timesheet!$B:$B,$A6,Timesheet!$G:$G,$B$3))</f>
        <v/>
      </c>
      <c r="C6" s="6">
        <f>7.5*5</f>
        <v/>
      </c>
      <c r="D6" s="6">
        <f>B6-C6</f>
        <v/>
      </c>
      <c r="E6" s="6">
        <f>IF(B6="","",IF(D6=0,"On Target",IF(D6&gt;0,"Over","Under")))</f>
        <v/>
      </c>
    </row>
    <row r="7">
      <c r="A7" s="6">
        <f>Lists!$A$3</f>
        <v/>
      </c>
      <c r="B7" s="6">
        <f>IF($A7="","",SUMIFS(Timesheet!$E:$E,Timesheet!$B:$B,$A7,Timesheet!$G:$G,$B$3))</f>
        <v/>
      </c>
      <c r="C7" s="6">
        <f>7.5*5</f>
        <v/>
      </c>
      <c r="D7" s="6">
        <f>B7-C7</f>
        <v/>
      </c>
      <c r="E7" s="6">
        <f>IF(B7="","",IF(D7=0,"On Target",IF(D7&gt;0,"Over","Under")))</f>
        <v/>
      </c>
    </row>
    <row r="8">
      <c r="A8" s="6">
        <f>Lists!$A$4</f>
        <v/>
      </c>
      <c r="B8" s="6">
        <f>IF($A8="","",SUMIFS(Timesheet!$E:$E,Timesheet!$B:$B,$A8,Timesheet!$G:$G,$B$3))</f>
        <v/>
      </c>
      <c r="C8" s="6">
        <f>7.5*5</f>
        <v/>
      </c>
      <c r="D8" s="6">
        <f>B8-C8</f>
        <v/>
      </c>
      <c r="E8" s="6">
        <f>IF(B8="","",IF(D8=0,"On Target",IF(D8&gt;0,"Over","Under")))</f>
        <v/>
      </c>
    </row>
    <row r="9">
      <c r="A9" s="6">
        <f>Lists!$A$5</f>
        <v/>
      </c>
      <c r="B9" s="6">
        <f>IF($A9="","",SUMIFS(Timesheet!$E:$E,Timesheet!$B:$B,$A9,Timesheet!$G:$G,$B$3))</f>
        <v/>
      </c>
      <c r="C9" s="6">
        <f>7.5*5</f>
        <v/>
      </c>
      <c r="D9" s="6">
        <f>B9-C9</f>
        <v/>
      </c>
      <c r="E9" s="6">
        <f>IF(B9="","",IF(D9=0,"On Target",IF(D9&gt;0,"Over","Under")))</f>
        <v/>
      </c>
    </row>
  </sheetData>
  <conditionalFormatting sqref="E6:E9">
    <cfRule type="expression" priority="1" dxfId="0">
      <formula>E6="On Target"</formula>
    </cfRule>
    <cfRule type="expression" priority="2" dxfId="2">
      <formula>E6="Under"</formula>
    </cfRule>
    <cfRule type="expression" priority="3" dxfId="1">
      <formula>E6="Over"</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2026-07-06T10:00:38Z</dcterms:created>
  <dcterms:modified xsi:type="dcterms:W3CDTF">2026-07-06T10:00:38Z</dcterms:modified>
</cp:coreProperties>
</file>