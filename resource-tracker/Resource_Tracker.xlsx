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Lists" sheetId="2" state="visible" r:id="rId2"/>
    <sheet name="Gantt" sheetId="3" state="visible" r:id="rId3"/>
  </sheets>
  <definedNames>
    <definedName name="StaffList">OFFSET(Lists!$A$2,0,0,COUNTA(Lists!$A$2:$A$1000),1)</definedName>
    <definedName name="ProjectList">OFFSET(Lists!$C$2,0,0,COUNTA(Lists!$C$2:$C$1000),1)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d\ dd/mm"/>
  </numFmts>
  <fonts count="11">
    <font>
      <name val="Calibri"/>
      <family val="2"/>
      <color theme="1"/>
      <sz val="11"/>
      <scheme val="minor"/>
    </font>
    <font>
      <b val="1"/>
      <color rgb="001F3864"/>
      <sz val="18"/>
    </font>
    <font>
      <sz val="11"/>
    </font>
    <font>
      <b val="1"/>
      <color rgb="002E5395"/>
      <sz val="12"/>
    </font>
    <font>
      <b val="1"/>
      <color rgb="00FFFFFF"/>
    </font>
    <font>
      <i val="1"/>
      <color rgb="00808080"/>
    </font>
    <font>
      <color rgb="00262626"/>
    </font>
    <font>
      <b val="1"/>
    </font>
    <font>
      <b val="1"/>
      <color rgb="00FFFFFF"/>
      <sz val="9"/>
    </font>
    <font>
      <b val="1"/>
      <sz val="9"/>
    </font>
    <font>
      <b val="1"/>
      <color rgb="001F3864"/>
      <sz val="13"/>
    </font>
  </fonts>
  <fills count="3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B7B7"/>
      </patternFill>
    </fill>
    <fill>
      <patternFill patternType="solid">
        <fgColor rgb="00B7C6EA"/>
      </patternFill>
    </fill>
    <fill>
      <patternFill patternType="solid">
        <fgColor rgb="00D5EAB7"/>
      </patternFill>
    </fill>
    <fill>
      <patternFill patternType="solid">
        <fgColor rgb="00EAB7E4"/>
      </patternFill>
    </fill>
    <fill>
      <patternFill patternType="solid">
        <fgColor rgb="00B7EAE1"/>
      </patternFill>
    </fill>
    <fill>
      <patternFill patternType="solid">
        <fgColor rgb="00EAD3B7"/>
      </patternFill>
    </fill>
    <fill>
      <patternFill patternType="solid">
        <fgColor rgb="00C4B7EA"/>
      </patternFill>
    </fill>
    <fill>
      <patternFill patternType="solid">
        <fgColor rgb="00BAEAB7"/>
      </patternFill>
    </fill>
    <fill>
      <patternFill patternType="solid">
        <fgColor rgb="00EAB7C8"/>
      </patternFill>
    </fill>
    <fill>
      <patternFill patternType="solid">
        <fgColor rgb="00B7D7EA"/>
      </patternFill>
    </fill>
    <fill>
      <patternFill patternType="solid">
        <fgColor rgb="00E6EAB7"/>
      </patternFill>
    </fill>
    <fill>
      <patternFill patternType="solid">
        <fgColor rgb="00DFB7EA"/>
      </patternFill>
    </fill>
    <fill>
      <patternFill patternType="solid">
        <fgColor rgb="00B7EAD1"/>
      </patternFill>
    </fill>
    <fill>
      <patternFill patternType="solid">
        <fgColor rgb="00EAC2B7"/>
      </patternFill>
    </fill>
    <fill>
      <patternFill patternType="solid">
        <fgColor rgb="00B7BCEA"/>
      </patternFill>
    </fill>
    <fill>
      <patternFill patternType="solid">
        <fgColor rgb="00CAEAB7"/>
      </patternFill>
    </fill>
    <fill>
      <patternFill patternType="solid">
        <fgColor rgb="00EAB7D9"/>
      </patternFill>
    </fill>
    <fill>
      <patternFill patternType="solid">
        <fgColor rgb="00B7E8EA"/>
      </patternFill>
    </fill>
    <fill>
      <patternFill patternType="solid">
        <fgColor rgb="00EADDB7"/>
      </patternFill>
    </fill>
    <fill>
      <patternFill patternType="solid">
        <fgColor rgb="00CEB7EA"/>
      </patternFill>
    </fill>
    <fill>
      <patternFill patternType="solid">
        <fgColor rgb="00B7EAC0"/>
      </patternFill>
    </fill>
    <fill>
      <patternFill patternType="solid">
        <fgColor rgb="00EAB7BE"/>
      </patternFill>
    </fill>
    <fill>
      <patternFill patternType="solid">
        <fgColor rgb="00B7CDEA"/>
      </patternFill>
    </fill>
    <fill>
      <patternFill patternType="solid">
        <fgColor rgb="00DBEAB7"/>
      </patternFill>
    </fill>
    <fill>
      <patternFill patternType="solid">
        <fgColor rgb="00EAB7EA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3D3EE"/>
      </patternFill>
    </fill>
    <fill>
      <patternFill patternType="solid">
        <fgColor rgb="002E5395"/>
      </patternFill>
    </fill>
    <fill>
      <patternFill patternType="solid">
        <fgColor rgb="003D6BB3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medium">
        <color rgb="00808080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ck">
        <color rgb="00404040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ck">
        <color rgb="00404040"/>
      </bottom>
    </border>
    <border>
      <left style="thin">
        <color rgb="00D9D9D9"/>
      </left>
      <right style="medium">
        <color rgb="00808080"/>
      </right>
      <top style="thin">
        <color rgb="00D9D9D9"/>
      </top>
      <bottom style="thick">
        <color rgb="00404040"/>
      </bottom>
    </border>
    <border>
      <left style="thin">
        <color rgb="00D9D9D9"/>
      </left>
      <right style="thick">
        <color rgb="00404040"/>
      </right>
      <top style="thin">
        <color rgb="00D9D9D9"/>
      </top>
      <bottom style="thick">
        <color rgb="00404040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0" fillId="0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6" fillId="5" borderId="1" pivotButton="0" quotePrefix="0" xfId="0"/>
    <xf numFmtId="0" fontId="6" fillId="6" borderId="1" pivotButton="0" quotePrefix="0" xfId="0"/>
    <xf numFmtId="0" fontId="6" fillId="7" borderId="1" pivotButton="0" quotePrefix="0" xfId="0"/>
    <xf numFmtId="0" fontId="6" fillId="8" borderId="1" pivotButton="0" quotePrefix="0" xfId="0"/>
    <xf numFmtId="0" fontId="6" fillId="9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7" borderId="1" pivotButton="0" quotePrefix="0" xfId="0"/>
    <xf numFmtId="0" fontId="6" fillId="18" borderId="1" pivotButton="0" quotePrefix="0" xfId="0"/>
    <xf numFmtId="0" fontId="6" fillId="19" borderId="1" pivotButton="0" quotePrefix="0" xfId="0"/>
    <xf numFmtId="0" fontId="6" fillId="20" borderId="1" pivotButton="0" quotePrefix="0" xfId="0"/>
    <xf numFmtId="0" fontId="6" fillId="21" borderId="1" pivotButton="0" quotePrefix="0" xfId="0"/>
    <xf numFmtId="0" fontId="6" fillId="22" borderId="1" pivotButton="0" quotePrefix="0" xfId="0"/>
    <xf numFmtId="0" fontId="6" fillId="23" borderId="1" pivotButton="0" quotePrefix="0" xfId="0"/>
    <xf numFmtId="0" fontId="6" fillId="24" borderId="1" pivotButton="0" quotePrefix="0" xfId="0"/>
    <xf numFmtId="0" fontId="6" fillId="25" borderId="1" pivotButton="0" quotePrefix="0" xfId="0"/>
    <xf numFmtId="0" fontId="6" fillId="26" borderId="1" pivotButton="0" quotePrefix="0" xfId="0"/>
    <xf numFmtId="0" fontId="6" fillId="27" borderId="1" pivotButton="0" quotePrefix="0" xfId="0"/>
    <xf numFmtId="0" fontId="7" fillId="0" borderId="0" applyAlignment="1" pivotButton="0" quotePrefix="0" xfId="0">
      <alignment horizontal="right" vertical="center"/>
    </xf>
    <xf numFmtId="165" fontId="7" fillId="28" borderId="1" pivotButton="0" quotePrefix="0" xfId="0"/>
    <xf numFmtId="0" fontId="4" fillId="2" borderId="2" pivotButton="0" quotePrefix="0" xfId="0"/>
    <xf numFmtId="0" fontId="4" fillId="31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2" borderId="1" applyAlignment="1" pivotButton="0" quotePrefix="0" xfId="0">
      <alignment horizontal="center" vertical="center"/>
    </xf>
    <xf numFmtId="0" fontId="7" fillId="0" borderId="2" pivotButton="0" quotePrefix="0" xfId="0"/>
    <xf numFmtId="0" fontId="9" fillId="29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30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 textRotation="90"/>
    </xf>
    <xf numFmtId="166" fontId="8" fillId="2" borderId="2" applyAlignment="1" pivotButton="0" quotePrefix="0" xfId="0">
      <alignment horizontal="center" vertical="center" textRotation="90"/>
    </xf>
    <xf numFmtId="166" fontId="8" fillId="2" borderId="3" applyAlignment="1" pivotButton="0" quotePrefix="0" xfId="0">
      <alignment horizontal="center" vertical="center" textRotation="90"/>
    </xf>
    <xf numFmtId="0" fontId="7" fillId="33" borderId="2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dxfs count="25">
    <dxf>
      <fill>
        <patternFill patternType="solid">
          <fgColor rgb="00EAB7B7"/>
        </patternFill>
      </fill>
    </dxf>
    <dxf>
      <fill>
        <patternFill patternType="solid">
          <fgColor rgb="00B7C6EA"/>
        </patternFill>
      </fill>
    </dxf>
    <dxf>
      <fill>
        <patternFill patternType="solid">
          <fgColor rgb="00D5EAB7"/>
        </patternFill>
      </fill>
    </dxf>
    <dxf>
      <fill>
        <patternFill patternType="solid">
          <fgColor rgb="00EAB7E4"/>
        </patternFill>
      </fill>
    </dxf>
    <dxf>
      <fill>
        <patternFill patternType="solid">
          <fgColor rgb="00B7EAE1"/>
        </patternFill>
      </fill>
    </dxf>
    <dxf>
      <fill>
        <patternFill patternType="solid">
          <fgColor rgb="00EAD3B7"/>
        </patternFill>
      </fill>
    </dxf>
    <dxf>
      <fill>
        <patternFill patternType="solid">
          <fgColor rgb="00C4B7EA"/>
        </patternFill>
      </fill>
    </dxf>
    <dxf>
      <fill>
        <patternFill patternType="solid">
          <fgColor rgb="00BAEAB7"/>
        </patternFill>
      </fill>
    </dxf>
    <dxf>
      <fill>
        <patternFill patternType="solid">
          <fgColor rgb="00EAB7C8"/>
        </patternFill>
      </fill>
    </dxf>
    <dxf>
      <fill>
        <patternFill patternType="solid">
          <fgColor rgb="00B7D7EA"/>
        </patternFill>
      </fill>
    </dxf>
    <dxf>
      <fill>
        <patternFill patternType="solid">
          <fgColor rgb="00E6EAB7"/>
        </patternFill>
      </fill>
    </dxf>
    <dxf>
      <fill>
        <patternFill patternType="solid">
          <fgColor rgb="00DFB7EA"/>
        </patternFill>
      </fill>
    </dxf>
    <dxf>
      <fill>
        <patternFill patternType="solid">
          <fgColor rgb="00B7EAD1"/>
        </patternFill>
      </fill>
    </dxf>
    <dxf>
      <fill>
        <patternFill patternType="solid">
          <fgColor rgb="00EAC2B7"/>
        </patternFill>
      </fill>
    </dxf>
    <dxf>
      <fill>
        <patternFill patternType="solid">
          <fgColor rgb="00B7BCEA"/>
        </patternFill>
      </fill>
    </dxf>
    <dxf>
      <fill>
        <patternFill patternType="solid">
          <fgColor rgb="00CAEAB7"/>
        </patternFill>
      </fill>
    </dxf>
    <dxf>
      <fill>
        <patternFill patternType="solid">
          <fgColor rgb="00EAB7D9"/>
        </patternFill>
      </fill>
    </dxf>
    <dxf>
      <fill>
        <patternFill patternType="solid">
          <fgColor rgb="00B7E8EA"/>
        </patternFill>
      </fill>
    </dxf>
    <dxf>
      <fill>
        <patternFill patternType="solid">
          <fgColor rgb="00EADDB7"/>
        </patternFill>
      </fill>
    </dxf>
    <dxf>
      <fill>
        <patternFill patternType="solid">
          <fgColor rgb="00CEB7EA"/>
        </patternFill>
      </fill>
    </dxf>
    <dxf>
      <fill>
        <patternFill patternType="solid">
          <fgColor rgb="00B7EAC0"/>
        </patternFill>
      </fill>
    </dxf>
    <dxf>
      <fill>
        <patternFill patternType="solid">
          <fgColor rgb="00EAB7BE"/>
        </patternFill>
      </fill>
    </dxf>
    <dxf>
      <fill>
        <patternFill patternType="solid">
          <fgColor rgb="00B7CDEA"/>
        </patternFill>
      </fill>
    </dxf>
    <dxf>
      <fill>
        <patternFill patternType="solid">
          <fgColor rgb="00DBEAB7"/>
        </patternFill>
      </fill>
    </dxf>
    <dxf>
      <fill>
        <patternFill patternType="solid">
          <fgColor rgb="00EAB7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Resource Gantt Tracker – How to Use</t>
        </is>
      </c>
    </row>
    <row r="4" ht="8" customHeight="1">
      <c r="B4" s="2" t="inlineStr"/>
    </row>
    <row r="5" ht="30" customHeight="1">
      <c r="B5" s="3" t="inlineStr">
        <is>
          <t>1. Set up your team and projects on the 'Lists' tab</t>
        </is>
      </c>
    </row>
    <row r="6" ht="30" customHeight="1">
      <c r="B6" s="2" t="inlineStr">
        <is>
          <t xml:space="preserve">   Replace the 5 placeholder names with your team's real names, and rename any of the 25 project slots you need (leave the rest as-is for later - they'll just sit unused in the dropdown until you rename them). Each project slot has its own colour, shown as a swatch next to its name - that colour is what appears on the Gantt grid, so the swatch also acts as your legend.</t>
        </is>
      </c>
    </row>
    <row r="7" ht="8" customHeight="1">
      <c r="B7" s="2" t="inlineStr"/>
    </row>
    <row r="8" ht="30" customHeight="1">
      <c r="B8" s="3" t="inlineStr">
        <is>
          <t>2. Fill in the 'Gantt' tab</t>
        </is>
      </c>
    </row>
    <row r="9" ht="30" customHeight="1">
      <c r="B9" s="2" t="inlineStr">
        <is>
          <t xml:space="preserve">   Row 6 holds the start date for the timeline (must be a Monday) - change it and every date across the sheet shifts automatically. Below that, each of the 5 staff rows has one cell per working day. Click a day cell and pick a project from the dropdown; the cell fills with that project's colour automatically, giving you an MS Project-style bar chart made of daily blocks.</t>
        </is>
      </c>
    </row>
    <row r="10" ht="30" customHeight="1">
      <c r="B10" s="2" t="inlineStr">
        <is>
          <t xml:space="preserve">   Leave a cell blank if that person isn't assigned yet - it just stays white.</t>
        </is>
      </c>
    </row>
    <row r="11" ht="30" customHeight="1">
      <c r="B11" s="2" t="inlineStr">
        <is>
          <t xml:space="preserve">   There's no hours tracking here - one colour = one person on one project for that whole day. If you need to track leave too, just use one of the 25 slots for 'Annual Leave', 'Sick Leave', etc.</t>
        </is>
      </c>
    </row>
    <row r="12" ht="8" customHeight="1">
      <c r="B12" s="2" t="inlineStr"/>
    </row>
    <row r="13" ht="30" customHeight="1">
      <c r="B13" s="3" t="inlineStr">
        <is>
          <t>3. Reading it weekly or 6-weekly</t>
        </is>
      </c>
    </row>
    <row r="14" ht="30" customHeight="1">
      <c r="B14" s="2" t="inlineStr">
        <is>
          <t xml:space="preserve">   Above the day cells, a 'Week Commencing' band groups every 5 days into a week, and a '6-Week Block' band above that groups 6 weeks together - so you can read the same grid at whichever resolution you need, without switching sheets.</t>
        </is>
      </c>
    </row>
    <row r="15" ht="8" customHeight="1">
      <c r="B15" s="2" t="inlineStr"/>
    </row>
    <row r="16" ht="30" customHeight="1">
      <c r="B16" s="3" t="inlineStr">
        <is>
          <t>4. Days-per-project counts</t>
        </is>
      </c>
    </row>
    <row r="17" ht="30" customHeight="1">
      <c r="B17" s="2" t="inlineStr">
        <is>
          <t xml:space="preserve">   Below the grid, the 'Days per Project' table automatically counts how many days in the current timeline each person has been assigned to each project - a quick utilisation check with no manual maths.</t>
        </is>
      </c>
    </row>
    <row r="18" ht="8" customHeight="1">
      <c r="B18" s="2" t="inlineStr"/>
    </row>
    <row r="19" ht="30" customHeight="1">
      <c r="B19" s="3" t="inlineStr">
        <is>
          <t>5. Extending the timeline or team</t>
        </is>
      </c>
    </row>
    <row r="20" ht="30" customHeight="1">
      <c r="B20" s="2" t="inlineStr">
        <is>
          <t xml:space="preserve">   The Gantt tab ships with 26 weeks (about 6 months). To add more weeks, select the last week's block of columns (including the band rows and the 5 staff rows) and copy it to the right - the dates, borders and dropdowns will carry across.</t>
        </is>
      </c>
    </row>
    <row r="21" ht="30" customHeight="1">
      <c r="B21" s="2" t="inlineStr">
        <is>
          <t xml:space="preserve">   To add a 6th team member, add their name to the Lists tab, then insert a row on the Gantt tab below the last staff row and copy an existing staff row's formatting/dropdown into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30" customWidth="1" min="3" max="3"/>
    <col width="3" customWidth="1" min="4" max="4"/>
    <col width="60" customWidth="1" min="5" max="5"/>
  </cols>
  <sheetData>
    <row r="1" ht="30" customHeight="1">
      <c r="A1" s="4" t="inlineStr">
        <is>
          <t>Staff Name</t>
        </is>
      </c>
      <c r="C1" s="4" t="inlineStr">
        <is>
          <t>Project (colour = Gantt colour)</t>
        </is>
      </c>
      <c r="E1" s="5" t="inlineStr">
        <is>
          <t>Edit these freely. Staff/project names update everywhere automatically (StaffList / ProjectList named ranges). Each project's swatch colour is what shows on the Gantt grid.</t>
        </is>
      </c>
    </row>
    <row r="2">
      <c r="A2" s="6" t="inlineStr">
        <is>
          <t>Team Member 1</t>
        </is>
      </c>
      <c r="C2" s="7" t="inlineStr">
        <is>
          <t>Project 1</t>
        </is>
      </c>
    </row>
    <row r="3">
      <c r="A3" s="6" t="inlineStr">
        <is>
          <t>Team Member 2</t>
        </is>
      </c>
      <c r="C3" s="8" t="inlineStr">
        <is>
          <t>Project 2</t>
        </is>
      </c>
    </row>
    <row r="4">
      <c r="A4" s="6" t="inlineStr">
        <is>
          <t>Team Member 3</t>
        </is>
      </c>
      <c r="C4" s="9" t="inlineStr">
        <is>
          <t>Project 3</t>
        </is>
      </c>
    </row>
    <row r="5">
      <c r="A5" s="6" t="inlineStr">
        <is>
          <t>Team Member 4</t>
        </is>
      </c>
      <c r="C5" s="10" t="inlineStr">
        <is>
          <t>Project 4</t>
        </is>
      </c>
    </row>
    <row r="6">
      <c r="A6" s="6" t="inlineStr">
        <is>
          <t>Team Member 5</t>
        </is>
      </c>
      <c r="C6" s="11" t="inlineStr">
        <is>
          <t>Project 5</t>
        </is>
      </c>
    </row>
    <row r="7">
      <c r="C7" s="12" t="inlineStr">
        <is>
          <t>Project 6</t>
        </is>
      </c>
    </row>
    <row r="8">
      <c r="C8" s="13" t="inlineStr">
        <is>
          <t>Project 7</t>
        </is>
      </c>
    </row>
    <row r="9">
      <c r="C9" s="14" t="inlineStr">
        <is>
          <t>Project 8</t>
        </is>
      </c>
    </row>
    <row r="10">
      <c r="C10" s="15" t="inlineStr">
        <is>
          <t>Project 9</t>
        </is>
      </c>
    </row>
    <row r="11">
      <c r="C11" s="16" t="inlineStr">
        <is>
          <t>Project 10</t>
        </is>
      </c>
    </row>
    <row r="12">
      <c r="C12" s="17" t="inlineStr">
        <is>
          <t>Project 11</t>
        </is>
      </c>
    </row>
    <row r="13">
      <c r="C13" s="18" t="inlineStr">
        <is>
          <t>Project 12</t>
        </is>
      </c>
    </row>
    <row r="14">
      <c r="C14" s="19" t="inlineStr">
        <is>
          <t>Project 13</t>
        </is>
      </c>
    </row>
    <row r="15">
      <c r="C15" s="20" t="inlineStr">
        <is>
          <t>Project 14</t>
        </is>
      </c>
    </row>
    <row r="16">
      <c r="C16" s="21" t="inlineStr">
        <is>
          <t>Project 15</t>
        </is>
      </c>
    </row>
    <row r="17">
      <c r="C17" s="22" t="inlineStr">
        <is>
          <t>Project 16</t>
        </is>
      </c>
    </row>
    <row r="18">
      <c r="C18" s="23" t="inlineStr">
        <is>
          <t>Project 17</t>
        </is>
      </c>
    </row>
    <row r="19">
      <c r="C19" s="24" t="inlineStr">
        <is>
          <t>Project 18</t>
        </is>
      </c>
    </row>
    <row r="20">
      <c r="C20" s="25" t="inlineStr">
        <is>
          <t>Project 19</t>
        </is>
      </c>
    </row>
    <row r="21">
      <c r="C21" s="26" t="inlineStr">
        <is>
          <t>Project 20</t>
        </is>
      </c>
    </row>
    <row r="22">
      <c r="C22" s="27" t="inlineStr">
        <is>
          <t>Project 21</t>
        </is>
      </c>
    </row>
    <row r="23">
      <c r="C23" s="28" t="inlineStr">
        <is>
          <t>Project 22</t>
        </is>
      </c>
    </row>
    <row r="24">
      <c r="C24" s="29" t="inlineStr">
        <is>
          <t>Project 23</t>
        </is>
      </c>
    </row>
    <row r="25">
      <c r="C25" s="30" t="inlineStr">
        <is>
          <t>Project 24</t>
        </is>
      </c>
    </row>
    <row r="26">
      <c r="C26" s="31" t="inlineStr">
        <is>
          <t>Project 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A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.3" customWidth="1" min="2" max="2"/>
    <col width="4.3" customWidth="1" min="3" max="3"/>
    <col width="4.3" customWidth="1" min="4" max="4"/>
    <col width="4.3" customWidth="1" min="5" max="5"/>
    <col width="4.3" customWidth="1" min="6" max="6"/>
    <col width="4.3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  <col width="4.3" customWidth="1" min="15" max="15"/>
    <col width="4.3" customWidth="1" min="16" max="16"/>
    <col width="4.3" customWidth="1" min="17" max="17"/>
    <col width="4.3" customWidth="1" min="18" max="18"/>
    <col width="4.3" customWidth="1" min="19" max="19"/>
    <col width="4.3" customWidth="1" min="20" max="20"/>
    <col width="4.3" customWidth="1" min="21" max="21"/>
    <col width="4.3" customWidth="1" min="22" max="22"/>
    <col width="4.3" customWidth="1" min="23" max="23"/>
    <col width="4.3" customWidth="1" min="24" max="24"/>
    <col width="4.3" customWidth="1" min="25" max="25"/>
    <col width="4.3" customWidth="1" min="26" max="26"/>
    <col width="4.3" customWidth="1" min="27" max="27"/>
    <col width="4.3" customWidth="1" min="28" max="28"/>
    <col width="4.3" customWidth="1" min="29" max="29"/>
    <col width="4.3" customWidth="1" min="30" max="30"/>
    <col width="4.3" customWidth="1" min="31" max="31"/>
    <col width="4.3" customWidth="1" min="32" max="32"/>
    <col width="4.3" customWidth="1" min="33" max="33"/>
    <col width="4.3" customWidth="1" min="34" max="34"/>
    <col width="4.3" customWidth="1" min="35" max="35"/>
    <col width="4.3" customWidth="1" min="36" max="36"/>
    <col width="4.3" customWidth="1" min="37" max="37"/>
    <col width="4.3" customWidth="1" min="38" max="38"/>
    <col width="4.3" customWidth="1" min="39" max="39"/>
    <col width="4.3" customWidth="1" min="40" max="40"/>
    <col width="4.3" customWidth="1" min="41" max="41"/>
    <col width="4.3" customWidth="1" min="42" max="42"/>
    <col width="4.3" customWidth="1" min="43" max="43"/>
    <col width="4.3" customWidth="1" min="44" max="44"/>
    <col width="4.3" customWidth="1" min="45" max="45"/>
    <col width="4.3" customWidth="1" min="46" max="46"/>
    <col width="4.3" customWidth="1" min="47" max="47"/>
    <col width="4.3" customWidth="1" min="48" max="48"/>
    <col width="4.3" customWidth="1" min="49" max="49"/>
    <col width="4.3" customWidth="1" min="50" max="50"/>
    <col width="4.3" customWidth="1" min="51" max="51"/>
    <col width="4.3" customWidth="1" min="52" max="52"/>
    <col width="4.3" customWidth="1" min="53" max="53"/>
    <col width="4.3" customWidth="1" min="54" max="54"/>
    <col width="4.3" customWidth="1" min="55" max="55"/>
    <col width="4.3" customWidth="1" min="56" max="56"/>
    <col width="4.3" customWidth="1" min="57" max="57"/>
    <col width="4.3" customWidth="1" min="58" max="58"/>
    <col width="4.3" customWidth="1" min="59" max="59"/>
    <col width="4.3" customWidth="1" min="60" max="60"/>
    <col width="4.3" customWidth="1" min="61" max="61"/>
    <col width="4.3" customWidth="1" min="62" max="62"/>
    <col width="4.3" customWidth="1" min="63" max="63"/>
    <col width="4.3" customWidth="1" min="64" max="64"/>
    <col width="4.3" customWidth="1" min="65" max="65"/>
    <col width="4.3" customWidth="1" min="66" max="66"/>
    <col width="4.3" customWidth="1" min="67" max="67"/>
    <col width="4.3" customWidth="1" min="68" max="68"/>
    <col width="4.3" customWidth="1" min="69" max="69"/>
    <col width="4.3" customWidth="1" min="70" max="70"/>
    <col width="4.3" customWidth="1" min="71" max="71"/>
    <col width="4.3" customWidth="1" min="72" max="72"/>
    <col width="4.3" customWidth="1" min="73" max="73"/>
    <col width="4.3" customWidth="1" min="74" max="74"/>
    <col width="4.3" customWidth="1" min="75" max="75"/>
    <col width="4.3" customWidth="1" min="76" max="76"/>
    <col width="4.3" customWidth="1" min="77" max="77"/>
    <col width="4.3" customWidth="1" min="78" max="78"/>
    <col width="4.3" customWidth="1" min="79" max="79"/>
    <col width="4.3" customWidth="1" min="80" max="80"/>
    <col width="4.3" customWidth="1" min="81" max="81"/>
    <col width="4.3" customWidth="1" min="82" max="82"/>
    <col width="4.3" customWidth="1" min="83" max="83"/>
    <col width="4.3" customWidth="1" min="84" max="84"/>
    <col width="4.3" customWidth="1" min="85" max="85"/>
    <col width="4.3" customWidth="1" min="86" max="86"/>
    <col width="4.3" customWidth="1" min="87" max="87"/>
    <col width="4.3" customWidth="1" min="88" max="88"/>
    <col width="4.3" customWidth="1" min="89" max="89"/>
    <col width="4.3" customWidth="1" min="90" max="90"/>
    <col width="4.3" customWidth="1" min="91" max="91"/>
    <col width="4.3" customWidth="1" min="92" max="92"/>
    <col width="4.3" customWidth="1" min="93" max="93"/>
    <col width="4.3" customWidth="1" min="94" max="94"/>
    <col width="4.3" customWidth="1" min="95" max="95"/>
    <col width="4.3" customWidth="1" min="96" max="96"/>
    <col width="4.3" customWidth="1" min="97" max="97"/>
    <col width="4.3" customWidth="1" min="98" max="98"/>
    <col width="4.3" customWidth="1" min="99" max="99"/>
    <col width="4.3" customWidth="1" min="100" max="100"/>
    <col width="4.3" customWidth="1" min="101" max="101"/>
    <col width="4.3" customWidth="1" min="102" max="102"/>
    <col width="4.3" customWidth="1" min="103" max="103"/>
    <col width="4.3" customWidth="1" min="104" max="104"/>
    <col width="4.3" customWidth="1" min="105" max="105"/>
    <col width="4.3" customWidth="1" min="106" max="106"/>
    <col width="4.3" customWidth="1" min="107" max="107"/>
    <col width="4.3" customWidth="1" min="108" max="108"/>
    <col width="4.3" customWidth="1" min="109" max="109"/>
    <col width="4.3" customWidth="1" min="110" max="110"/>
    <col width="4.3" customWidth="1" min="111" max="111"/>
    <col width="4.3" customWidth="1" min="112" max="112"/>
    <col width="4.3" customWidth="1" min="113" max="113"/>
    <col width="4.3" customWidth="1" min="114" max="114"/>
    <col width="4.3" customWidth="1" min="115" max="115"/>
    <col width="4.3" customWidth="1" min="116" max="116"/>
    <col width="4.3" customWidth="1" min="117" max="117"/>
    <col width="4.3" customWidth="1" min="118" max="118"/>
    <col width="4.3" customWidth="1" min="119" max="119"/>
    <col width="4.3" customWidth="1" min="120" max="120"/>
    <col width="4.3" customWidth="1" min="121" max="121"/>
    <col width="4.3" customWidth="1" min="122" max="122"/>
    <col width="4.3" customWidth="1" min="123" max="123"/>
    <col width="4.3" customWidth="1" min="124" max="124"/>
    <col width="4.3" customWidth="1" min="125" max="125"/>
    <col width="4.3" customWidth="1" min="126" max="126"/>
    <col width="4.3" customWidth="1" min="127" max="127"/>
    <col width="4.3" customWidth="1" min="128" max="128"/>
    <col width="4.3" customWidth="1" min="129" max="129"/>
    <col width="4.3" customWidth="1" min="130" max="130"/>
    <col width="4.3" customWidth="1" min="131" max="131"/>
  </cols>
  <sheetData>
    <row r="1">
      <c r="A1" s="32" t="inlineStr">
        <is>
          <t>Timeline Start Date (must be a Monday):</t>
        </is>
      </c>
      <c r="E1" s="33" t="n">
        <v>46209</v>
      </c>
    </row>
    <row r="3" ht="20" customHeight="1">
      <c r="A3" s="34" t="inlineStr">
        <is>
          <t>6-Week Block</t>
        </is>
      </c>
      <c r="B3" s="35">
        <f>"Block "&amp;1&amp;": "&amp;TEXT($E$1+0,"dd/mm")&amp;" - "&amp;TEXT($E$1+39,"dd/mm")</f>
        <v/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36" t="n"/>
      <c r="AF3" s="37">
        <f>"Block "&amp;2&amp;": "&amp;TEXT($E$1+42,"dd/mm")&amp;" - "&amp;TEXT($E$1+81,"dd/mm")</f>
        <v/>
      </c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36" t="n"/>
      <c r="BJ3" s="35">
        <f>"Block "&amp;3&amp;": "&amp;TEXT($E$1+84,"dd/mm")&amp;" - "&amp;TEXT($E$1+123,"dd/mm")</f>
        <v/>
      </c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36" t="n"/>
      <c r="CN3" s="37">
        <f>"Block "&amp;4&amp;": "&amp;TEXT($E$1+126,"dd/mm")&amp;" - "&amp;TEXT($E$1+165,"dd/mm")</f>
        <v/>
      </c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36" t="n"/>
      <c r="DR3" s="35">
        <f>"Block "&amp;5&amp;": "&amp;TEXT($E$1+168,"dd/mm")&amp;" - "&amp;TEXT($E$1+179,"dd/mm")</f>
        <v/>
      </c>
      <c r="DS3" s="6" t="n"/>
      <c r="DT3" s="6" t="n"/>
      <c r="DU3" s="6" t="n"/>
      <c r="DV3" s="6" t="n"/>
      <c r="DW3" s="6" t="n"/>
      <c r="DX3" s="6" t="n"/>
      <c r="DY3" s="6" t="n"/>
      <c r="DZ3" s="6" t="n"/>
      <c r="EA3" s="36" t="n"/>
    </row>
    <row r="4" ht="20" customHeight="1">
      <c r="A4" s="38" t="inlineStr">
        <is>
          <t>Week Commencing</t>
        </is>
      </c>
      <c r="B4" s="39">
        <f>"w/c "&amp;TEXT($E$1+0,"dd/mm")</f>
        <v/>
      </c>
      <c r="C4" s="6" t="n"/>
      <c r="D4" s="6" t="n"/>
      <c r="E4" s="6" t="n"/>
      <c r="F4" s="40" t="n"/>
      <c r="G4" s="41">
        <f>"w/c "&amp;TEXT($E$1+7,"dd/mm")</f>
        <v/>
      </c>
      <c r="H4" s="6" t="n"/>
      <c r="I4" s="6" t="n"/>
      <c r="J4" s="6" t="n"/>
      <c r="K4" s="40" t="n"/>
      <c r="L4" s="39">
        <f>"w/c "&amp;TEXT($E$1+14,"dd/mm")</f>
        <v/>
      </c>
      <c r="M4" s="6" t="n"/>
      <c r="N4" s="6" t="n"/>
      <c r="O4" s="6" t="n"/>
      <c r="P4" s="40" t="n"/>
      <c r="Q4" s="41">
        <f>"w/c "&amp;TEXT($E$1+21,"dd/mm")</f>
        <v/>
      </c>
      <c r="R4" s="6" t="n"/>
      <c r="S4" s="6" t="n"/>
      <c r="T4" s="6" t="n"/>
      <c r="U4" s="40" t="n"/>
      <c r="V4" s="39">
        <f>"w/c "&amp;TEXT($E$1+28,"dd/mm")</f>
        <v/>
      </c>
      <c r="W4" s="6" t="n"/>
      <c r="X4" s="6" t="n"/>
      <c r="Y4" s="6" t="n"/>
      <c r="Z4" s="40" t="n"/>
      <c r="AA4" s="41">
        <f>"w/c "&amp;TEXT($E$1+35,"dd/mm")</f>
        <v/>
      </c>
      <c r="AB4" s="6" t="n"/>
      <c r="AC4" s="6" t="n"/>
      <c r="AD4" s="6" t="n"/>
      <c r="AE4" s="36" t="n"/>
      <c r="AF4" s="39">
        <f>"w/c "&amp;TEXT($E$1+42,"dd/mm")</f>
        <v/>
      </c>
      <c r="AG4" s="6" t="n"/>
      <c r="AH4" s="6" t="n"/>
      <c r="AI4" s="6" t="n"/>
      <c r="AJ4" s="40" t="n"/>
      <c r="AK4" s="41">
        <f>"w/c "&amp;TEXT($E$1+49,"dd/mm")</f>
        <v/>
      </c>
      <c r="AL4" s="6" t="n"/>
      <c r="AM4" s="6" t="n"/>
      <c r="AN4" s="6" t="n"/>
      <c r="AO4" s="40" t="n"/>
      <c r="AP4" s="39">
        <f>"w/c "&amp;TEXT($E$1+56,"dd/mm")</f>
        <v/>
      </c>
      <c r="AQ4" s="6" t="n"/>
      <c r="AR4" s="6" t="n"/>
      <c r="AS4" s="6" t="n"/>
      <c r="AT4" s="40" t="n"/>
      <c r="AU4" s="41">
        <f>"w/c "&amp;TEXT($E$1+63,"dd/mm")</f>
        <v/>
      </c>
      <c r="AV4" s="6" t="n"/>
      <c r="AW4" s="6" t="n"/>
      <c r="AX4" s="6" t="n"/>
      <c r="AY4" s="40" t="n"/>
      <c r="AZ4" s="39">
        <f>"w/c "&amp;TEXT($E$1+70,"dd/mm")</f>
        <v/>
      </c>
      <c r="BA4" s="6" t="n"/>
      <c r="BB4" s="6" t="n"/>
      <c r="BC4" s="6" t="n"/>
      <c r="BD4" s="40" t="n"/>
      <c r="BE4" s="41">
        <f>"w/c "&amp;TEXT($E$1+77,"dd/mm")</f>
        <v/>
      </c>
      <c r="BF4" s="6" t="n"/>
      <c r="BG4" s="6" t="n"/>
      <c r="BH4" s="6" t="n"/>
      <c r="BI4" s="36" t="n"/>
      <c r="BJ4" s="39">
        <f>"w/c "&amp;TEXT($E$1+84,"dd/mm")</f>
        <v/>
      </c>
      <c r="BK4" s="6" t="n"/>
      <c r="BL4" s="6" t="n"/>
      <c r="BM4" s="6" t="n"/>
      <c r="BN4" s="40" t="n"/>
      <c r="BO4" s="41">
        <f>"w/c "&amp;TEXT($E$1+91,"dd/mm")</f>
        <v/>
      </c>
      <c r="BP4" s="6" t="n"/>
      <c r="BQ4" s="6" t="n"/>
      <c r="BR4" s="6" t="n"/>
      <c r="BS4" s="40" t="n"/>
      <c r="BT4" s="39">
        <f>"w/c "&amp;TEXT($E$1+98,"dd/mm")</f>
        <v/>
      </c>
      <c r="BU4" s="6" t="n"/>
      <c r="BV4" s="6" t="n"/>
      <c r="BW4" s="6" t="n"/>
      <c r="BX4" s="40" t="n"/>
      <c r="BY4" s="41">
        <f>"w/c "&amp;TEXT($E$1+105,"dd/mm")</f>
        <v/>
      </c>
      <c r="BZ4" s="6" t="n"/>
      <c r="CA4" s="6" t="n"/>
      <c r="CB4" s="6" t="n"/>
      <c r="CC4" s="40" t="n"/>
      <c r="CD4" s="39">
        <f>"w/c "&amp;TEXT($E$1+112,"dd/mm")</f>
        <v/>
      </c>
      <c r="CE4" s="6" t="n"/>
      <c r="CF4" s="6" t="n"/>
      <c r="CG4" s="6" t="n"/>
      <c r="CH4" s="40" t="n"/>
      <c r="CI4" s="41">
        <f>"w/c "&amp;TEXT($E$1+119,"dd/mm")</f>
        <v/>
      </c>
      <c r="CJ4" s="6" t="n"/>
      <c r="CK4" s="6" t="n"/>
      <c r="CL4" s="6" t="n"/>
      <c r="CM4" s="36" t="n"/>
      <c r="CN4" s="39">
        <f>"w/c "&amp;TEXT($E$1+126,"dd/mm")</f>
        <v/>
      </c>
      <c r="CO4" s="6" t="n"/>
      <c r="CP4" s="6" t="n"/>
      <c r="CQ4" s="6" t="n"/>
      <c r="CR4" s="40" t="n"/>
      <c r="CS4" s="41">
        <f>"w/c "&amp;TEXT($E$1+133,"dd/mm")</f>
        <v/>
      </c>
      <c r="CT4" s="6" t="n"/>
      <c r="CU4" s="6" t="n"/>
      <c r="CV4" s="6" t="n"/>
      <c r="CW4" s="40" t="n"/>
      <c r="CX4" s="39">
        <f>"w/c "&amp;TEXT($E$1+140,"dd/mm")</f>
        <v/>
      </c>
      <c r="CY4" s="6" t="n"/>
      <c r="CZ4" s="6" t="n"/>
      <c r="DA4" s="6" t="n"/>
      <c r="DB4" s="40" t="n"/>
      <c r="DC4" s="41">
        <f>"w/c "&amp;TEXT($E$1+147,"dd/mm")</f>
        <v/>
      </c>
      <c r="DD4" s="6" t="n"/>
      <c r="DE4" s="6" t="n"/>
      <c r="DF4" s="6" t="n"/>
      <c r="DG4" s="40" t="n"/>
      <c r="DH4" s="39">
        <f>"w/c "&amp;TEXT($E$1+154,"dd/mm")</f>
        <v/>
      </c>
      <c r="DI4" s="6" t="n"/>
      <c r="DJ4" s="6" t="n"/>
      <c r="DK4" s="6" t="n"/>
      <c r="DL4" s="40" t="n"/>
      <c r="DM4" s="41">
        <f>"w/c "&amp;TEXT($E$1+161,"dd/mm")</f>
        <v/>
      </c>
      <c r="DN4" s="6" t="n"/>
      <c r="DO4" s="6" t="n"/>
      <c r="DP4" s="6" t="n"/>
      <c r="DQ4" s="36" t="n"/>
      <c r="DR4" s="39">
        <f>"w/c "&amp;TEXT($E$1+168,"dd/mm")</f>
        <v/>
      </c>
      <c r="DS4" s="6" t="n"/>
      <c r="DT4" s="6" t="n"/>
      <c r="DU4" s="6" t="n"/>
      <c r="DV4" s="40" t="n"/>
      <c r="DW4" s="41">
        <f>"w/c "&amp;TEXT($E$1+175,"dd/mm")</f>
        <v/>
      </c>
      <c r="DX4" s="6" t="n"/>
      <c r="DY4" s="6" t="n"/>
      <c r="DZ4" s="6" t="n"/>
      <c r="EA4" s="40" t="n"/>
    </row>
    <row r="5" ht="30" customHeight="1">
      <c r="A5" s="34" t="inlineStr">
        <is>
          <t>Staff \ Date</t>
        </is>
      </c>
      <c r="B5" s="42">
        <f>$E$1+0</f>
        <v/>
      </c>
      <c r="C5" s="42">
        <f>$E$1+1</f>
        <v/>
      </c>
      <c r="D5" s="42">
        <f>$E$1+2</f>
        <v/>
      </c>
      <c r="E5" s="42">
        <f>$E$1+3</f>
        <v/>
      </c>
      <c r="F5" s="43">
        <f>$E$1+4</f>
        <v/>
      </c>
      <c r="G5" s="42">
        <f>$E$1+7</f>
        <v/>
      </c>
      <c r="H5" s="42">
        <f>$E$1+8</f>
        <v/>
      </c>
      <c r="I5" s="42">
        <f>$E$1+9</f>
        <v/>
      </c>
      <c r="J5" s="42">
        <f>$E$1+10</f>
        <v/>
      </c>
      <c r="K5" s="43">
        <f>$E$1+11</f>
        <v/>
      </c>
      <c r="L5" s="42">
        <f>$E$1+14</f>
        <v/>
      </c>
      <c r="M5" s="42">
        <f>$E$1+15</f>
        <v/>
      </c>
      <c r="N5" s="42">
        <f>$E$1+16</f>
        <v/>
      </c>
      <c r="O5" s="42">
        <f>$E$1+17</f>
        <v/>
      </c>
      <c r="P5" s="43">
        <f>$E$1+18</f>
        <v/>
      </c>
      <c r="Q5" s="42">
        <f>$E$1+21</f>
        <v/>
      </c>
      <c r="R5" s="42">
        <f>$E$1+22</f>
        <v/>
      </c>
      <c r="S5" s="42">
        <f>$E$1+23</f>
        <v/>
      </c>
      <c r="T5" s="42">
        <f>$E$1+24</f>
        <v/>
      </c>
      <c r="U5" s="43">
        <f>$E$1+25</f>
        <v/>
      </c>
      <c r="V5" s="42">
        <f>$E$1+28</f>
        <v/>
      </c>
      <c r="W5" s="42">
        <f>$E$1+29</f>
        <v/>
      </c>
      <c r="X5" s="42">
        <f>$E$1+30</f>
        <v/>
      </c>
      <c r="Y5" s="42">
        <f>$E$1+31</f>
        <v/>
      </c>
      <c r="Z5" s="43">
        <f>$E$1+32</f>
        <v/>
      </c>
      <c r="AA5" s="42">
        <f>$E$1+35</f>
        <v/>
      </c>
      <c r="AB5" s="42">
        <f>$E$1+36</f>
        <v/>
      </c>
      <c r="AC5" s="42">
        <f>$E$1+37</f>
        <v/>
      </c>
      <c r="AD5" s="42">
        <f>$E$1+38</f>
        <v/>
      </c>
      <c r="AE5" s="44">
        <f>$E$1+39</f>
        <v/>
      </c>
      <c r="AF5" s="42">
        <f>$E$1+42</f>
        <v/>
      </c>
      <c r="AG5" s="42">
        <f>$E$1+43</f>
        <v/>
      </c>
      <c r="AH5" s="42">
        <f>$E$1+44</f>
        <v/>
      </c>
      <c r="AI5" s="42">
        <f>$E$1+45</f>
        <v/>
      </c>
      <c r="AJ5" s="43">
        <f>$E$1+46</f>
        <v/>
      </c>
      <c r="AK5" s="42">
        <f>$E$1+49</f>
        <v/>
      </c>
      <c r="AL5" s="42">
        <f>$E$1+50</f>
        <v/>
      </c>
      <c r="AM5" s="42">
        <f>$E$1+51</f>
        <v/>
      </c>
      <c r="AN5" s="42">
        <f>$E$1+52</f>
        <v/>
      </c>
      <c r="AO5" s="43">
        <f>$E$1+53</f>
        <v/>
      </c>
      <c r="AP5" s="42">
        <f>$E$1+56</f>
        <v/>
      </c>
      <c r="AQ5" s="42">
        <f>$E$1+57</f>
        <v/>
      </c>
      <c r="AR5" s="42">
        <f>$E$1+58</f>
        <v/>
      </c>
      <c r="AS5" s="42">
        <f>$E$1+59</f>
        <v/>
      </c>
      <c r="AT5" s="43">
        <f>$E$1+60</f>
        <v/>
      </c>
      <c r="AU5" s="42">
        <f>$E$1+63</f>
        <v/>
      </c>
      <c r="AV5" s="42">
        <f>$E$1+64</f>
        <v/>
      </c>
      <c r="AW5" s="42">
        <f>$E$1+65</f>
        <v/>
      </c>
      <c r="AX5" s="42">
        <f>$E$1+66</f>
        <v/>
      </c>
      <c r="AY5" s="43">
        <f>$E$1+67</f>
        <v/>
      </c>
      <c r="AZ5" s="42">
        <f>$E$1+70</f>
        <v/>
      </c>
      <c r="BA5" s="42">
        <f>$E$1+71</f>
        <v/>
      </c>
      <c r="BB5" s="42">
        <f>$E$1+72</f>
        <v/>
      </c>
      <c r="BC5" s="42">
        <f>$E$1+73</f>
        <v/>
      </c>
      <c r="BD5" s="43">
        <f>$E$1+74</f>
        <v/>
      </c>
      <c r="BE5" s="42">
        <f>$E$1+77</f>
        <v/>
      </c>
      <c r="BF5" s="42">
        <f>$E$1+78</f>
        <v/>
      </c>
      <c r="BG5" s="42">
        <f>$E$1+79</f>
        <v/>
      </c>
      <c r="BH5" s="42">
        <f>$E$1+80</f>
        <v/>
      </c>
      <c r="BI5" s="44">
        <f>$E$1+81</f>
        <v/>
      </c>
      <c r="BJ5" s="42">
        <f>$E$1+84</f>
        <v/>
      </c>
      <c r="BK5" s="42">
        <f>$E$1+85</f>
        <v/>
      </c>
      <c r="BL5" s="42">
        <f>$E$1+86</f>
        <v/>
      </c>
      <c r="BM5" s="42">
        <f>$E$1+87</f>
        <v/>
      </c>
      <c r="BN5" s="43">
        <f>$E$1+88</f>
        <v/>
      </c>
      <c r="BO5" s="42">
        <f>$E$1+91</f>
        <v/>
      </c>
      <c r="BP5" s="42">
        <f>$E$1+92</f>
        <v/>
      </c>
      <c r="BQ5" s="42">
        <f>$E$1+93</f>
        <v/>
      </c>
      <c r="BR5" s="42">
        <f>$E$1+94</f>
        <v/>
      </c>
      <c r="BS5" s="43">
        <f>$E$1+95</f>
        <v/>
      </c>
      <c r="BT5" s="42">
        <f>$E$1+98</f>
        <v/>
      </c>
      <c r="BU5" s="42">
        <f>$E$1+99</f>
        <v/>
      </c>
      <c r="BV5" s="42">
        <f>$E$1+100</f>
        <v/>
      </c>
      <c r="BW5" s="42">
        <f>$E$1+101</f>
        <v/>
      </c>
      <c r="BX5" s="43">
        <f>$E$1+102</f>
        <v/>
      </c>
      <c r="BY5" s="42">
        <f>$E$1+105</f>
        <v/>
      </c>
      <c r="BZ5" s="42">
        <f>$E$1+106</f>
        <v/>
      </c>
      <c r="CA5" s="42">
        <f>$E$1+107</f>
        <v/>
      </c>
      <c r="CB5" s="42">
        <f>$E$1+108</f>
        <v/>
      </c>
      <c r="CC5" s="43">
        <f>$E$1+109</f>
        <v/>
      </c>
      <c r="CD5" s="42">
        <f>$E$1+112</f>
        <v/>
      </c>
      <c r="CE5" s="42">
        <f>$E$1+113</f>
        <v/>
      </c>
      <c r="CF5" s="42">
        <f>$E$1+114</f>
        <v/>
      </c>
      <c r="CG5" s="42">
        <f>$E$1+115</f>
        <v/>
      </c>
      <c r="CH5" s="43">
        <f>$E$1+116</f>
        <v/>
      </c>
      <c r="CI5" s="42">
        <f>$E$1+119</f>
        <v/>
      </c>
      <c r="CJ5" s="42">
        <f>$E$1+120</f>
        <v/>
      </c>
      <c r="CK5" s="42">
        <f>$E$1+121</f>
        <v/>
      </c>
      <c r="CL5" s="42">
        <f>$E$1+122</f>
        <v/>
      </c>
      <c r="CM5" s="44">
        <f>$E$1+123</f>
        <v/>
      </c>
      <c r="CN5" s="42">
        <f>$E$1+126</f>
        <v/>
      </c>
      <c r="CO5" s="42">
        <f>$E$1+127</f>
        <v/>
      </c>
      <c r="CP5" s="42">
        <f>$E$1+128</f>
        <v/>
      </c>
      <c r="CQ5" s="42">
        <f>$E$1+129</f>
        <v/>
      </c>
      <c r="CR5" s="43">
        <f>$E$1+130</f>
        <v/>
      </c>
      <c r="CS5" s="42">
        <f>$E$1+133</f>
        <v/>
      </c>
      <c r="CT5" s="42">
        <f>$E$1+134</f>
        <v/>
      </c>
      <c r="CU5" s="42">
        <f>$E$1+135</f>
        <v/>
      </c>
      <c r="CV5" s="42">
        <f>$E$1+136</f>
        <v/>
      </c>
      <c r="CW5" s="43">
        <f>$E$1+137</f>
        <v/>
      </c>
      <c r="CX5" s="42">
        <f>$E$1+140</f>
        <v/>
      </c>
      <c r="CY5" s="42">
        <f>$E$1+141</f>
        <v/>
      </c>
      <c r="CZ5" s="42">
        <f>$E$1+142</f>
        <v/>
      </c>
      <c r="DA5" s="42">
        <f>$E$1+143</f>
        <v/>
      </c>
      <c r="DB5" s="43">
        <f>$E$1+144</f>
        <v/>
      </c>
      <c r="DC5" s="42">
        <f>$E$1+147</f>
        <v/>
      </c>
      <c r="DD5" s="42">
        <f>$E$1+148</f>
        <v/>
      </c>
      <c r="DE5" s="42">
        <f>$E$1+149</f>
        <v/>
      </c>
      <c r="DF5" s="42">
        <f>$E$1+150</f>
        <v/>
      </c>
      <c r="DG5" s="43">
        <f>$E$1+151</f>
        <v/>
      </c>
      <c r="DH5" s="42">
        <f>$E$1+154</f>
        <v/>
      </c>
      <c r="DI5" s="42">
        <f>$E$1+155</f>
        <v/>
      </c>
      <c r="DJ5" s="42">
        <f>$E$1+156</f>
        <v/>
      </c>
      <c r="DK5" s="42">
        <f>$E$1+157</f>
        <v/>
      </c>
      <c r="DL5" s="43">
        <f>$E$1+158</f>
        <v/>
      </c>
      <c r="DM5" s="42">
        <f>$E$1+161</f>
        <v/>
      </c>
      <c r="DN5" s="42">
        <f>$E$1+162</f>
        <v/>
      </c>
      <c r="DO5" s="42">
        <f>$E$1+163</f>
        <v/>
      </c>
      <c r="DP5" s="42">
        <f>$E$1+164</f>
        <v/>
      </c>
      <c r="DQ5" s="44">
        <f>$E$1+165</f>
        <v/>
      </c>
      <c r="DR5" s="42">
        <f>$E$1+168</f>
        <v/>
      </c>
      <c r="DS5" s="42">
        <f>$E$1+169</f>
        <v/>
      </c>
      <c r="DT5" s="42">
        <f>$E$1+170</f>
        <v/>
      </c>
      <c r="DU5" s="42">
        <f>$E$1+171</f>
        <v/>
      </c>
      <c r="DV5" s="43">
        <f>$E$1+172</f>
        <v/>
      </c>
      <c r="DW5" s="42">
        <f>$E$1+175</f>
        <v/>
      </c>
      <c r="DX5" s="42">
        <f>$E$1+176</f>
        <v/>
      </c>
      <c r="DY5" s="42">
        <f>$E$1+177</f>
        <v/>
      </c>
      <c r="DZ5" s="42">
        <f>$E$1+178</f>
        <v/>
      </c>
      <c r="EA5" s="43">
        <f>$E$1+179</f>
        <v/>
      </c>
    </row>
    <row r="6" ht="18" customHeight="1">
      <c r="A6" s="45">
        <f>Lists!$A$2</f>
        <v/>
      </c>
      <c r="B6" s="46" t="n"/>
      <c r="C6" s="46" t="n"/>
      <c r="D6" s="46" t="n"/>
      <c r="E6" s="46" t="n"/>
      <c r="F6" s="47" t="n"/>
      <c r="G6" s="46" t="n"/>
      <c r="H6" s="46" t="n"/>
      <c r="I6" s="46" t="n"/>
      <c r="J6" s="46" t="n"/>
      <c r="K6" s="47" t="n"/>
      <c r="L6" s="46" t="n"/>
      <c r="M6" s="46" t="n"/>
      <c r="N6" s="46" t="n"/>
      <c r="O6" s="46" t="n"/>
      <c r="P6" s="47" t="n"/>
      <c r="Q6" s="46" t="n"/>
      <c r="R6" s="46" t="n"/>
      <c r="S6" s="46" t="n"/>
      <c r="T6" s="46" t="n"/>
      <c r="U6" s="47" t="n"/>
      <c r="V6" s="46" t="n"/>
      <c r="W6" s="46" t="n"/>
      <c r="X6" s="46" t="n"/>
      <c r="Y6" s="46" t="n"/>
      <c r="Z6" s="47" t="n"/>
      <c r="AA6" s="46" t="n"/>
      <c r="AB6" s="46" t="n"/>
      <c r="AC6" s="46" t="n"/>
      <c r="AD6" s="46" t="n"/>
      <c r="AE6" s="48" t="n"/>
      <c r="AF6" s="46" t="n"/>
      <c r="AG6" s="46" t="n"/>
      <c r="AH6" s="46" t="n"/>
      <c r="AI6" s="46" t="n"/>
      <c r="AJ6" s="47" t="n"/>
      <c r="AK6" s="46" t="n"/>
      <c r="AL6" s="46" t="n"/>
      <c r="AM6" s="46" t="n"/>
      <c r="AN6" s="46" t="n"/>
      <c r="AO6" s="47" t="n"/>
      <c r="AP6" s="46" t="n"/>
      <c r="AQ6" s="46" t="n"/>
      <c r="AR6" s="46" t="n"/>
      <c r="AS6" s="46" t="n"/>
      <c r="AT6" s="47" t="n"/>
      <c r="AU6" s="46" t="n"/>
      <c r="AV6" s="46" t="n"/>
      <c r="AW6" s="46" t="n"/>
      <c r="AX6" s="46" t="n"/>
      <c r="AY6" s="47" t="n"/>
      <c r="AZ6" s="46" t="n"/>
      <c r="BA6" s="46" t="n"/>
      <c r="BB6" s="46" t="n"/>
      <c r="BC6" s="46" t="n"/>
      <c r="BD6" s="47" t="n"/>
      <c r="BE6" s="46" t="n"/>
      <c r="BF6" s="46" t="n"/>
      <c r="BG6" s="46" t="n"/>
      <c r="BH6" s="46" t="n"/>
      <c r="BI6" s="48" t="n"/>
      <c r="BJ6" s="46" t="n"/>
      <c r="BK6" s="46" t="n"/>
      <c r="BL6" s="46" t="n"/>
      <c r="BM6" s="46" t="n"/>
      <c r="BN6" s="47" t="n"/>
      <c r="BO6" s="46" t="n"/>
      <c r="BP6" s="46" t="n"/>
      <c r="BQ6" s="46" t="n"/>
      <c r="BR6" s="46" t="n"/>
      <c r="BS6" s="47" t="n"/>
      <c r="BT6" s="46" t="n"/>
      <c r="BU6" s="46" t="n"/>
      <c r="BV6" s="46" t="n"/>
      <c r="BW6" s="46" t="n"/>
      <c r="BX6" s="47" t="n"/>
      <c r="BY6" s="46" t="n"/>
      <c r="BZ6" s="46" t="n"/>
      <c r="CA6" s="46" t="n"/>
      <c r="CB6" s="46" t="n"/>
      <c r="CC6" s="47" t="n"/>
      <c r="CD6" s="46" t="n"/>
      <c r="CE6" s="46" t="n"/>
      <c r="CF6" s="46" t="n"/>
      <c r="CG6" s="46" t="n"/>
      <c r="CH6" s="47" t="n"/>
      <c r="CI6" s="46" t="n"/>
      <c r="CJ6" s="46" t="n"/>
      <c r="CK6" s="46" t="n"/>
      <c r="CL6" s="46" t="n"/>
      <c r="CM6" s="48" t="n"/>
      <c r="CN6" s="46" t="n"/>
      <c r="CO6" s="46" t="n"/>
      <c r="CP6" s="46" t="n"/>
      <c r="CQ6" s="46" t="n"/>
      <c r="CR6" s="47" t="n"/>
      <c r="CS6" s="46" t="n"/>
      <c r="CT6" s="46" t="n"/>
      <c r="CU6" s="46" t="n"/>
      <c r="CV6" s="46" t="n"/>
      <c r="CW6" s="47" t="n"/>
      <c r="CX6" s="46" t="n"/>
      <c r="CY6" s="46" t="n"/>
      <c r="CZ6" s="46" t="n"/>
      <c r="DA6" s="46" t="n"/>
      <c r="DB6" s="47" t="n"/>
      <c r="DC6" s="46" t="n"/>
      <c r="DD6" s="46" t="n"/>
      <c r="DE6" s="46" t="n"/>
      <c r="DF6" s="46" t="n"/>
      <c r="DG6" s="47" t="n"/>
      <c r="DH6" s="46" t="n"/>
      <c r="DI6" s="46" t="n"/>
      <c r="DJ6" s="46" t="n"/>
      <c r="DK6" s="46" t="n"/>
      <c r="DL6" s="47" t="n"/>
      <c r="DM6" s="46" t="n"/>
      <c r="DN6" s="46" t="n"/>
      <c r="DO6" s="46" t="n"/>
      <c r="DP6" s="46" t="n"/>
      <c r="DQ6" s="48" t="n"/>
      <c r="DR6" s="46" t="n"/>
      <c r="DS6" s="46" t="n"/>
      <c r="DT6" s="46" t="n"/>
      <c r="DU6" s="46" t="n"/>
      <c r="DV6" s="47" t="n"/>
      <c r="DW6" s="46" t="n"/>
      <c r="DX6" s="46" t="n"/>
      <c r="DY6" s="46" t="n"/>
      <c r="DZ6" s="46" t="n"/>
      <c r="EA6" s="47" t="n"/>
    </row>
    <row r="7" ht="18" customHeight="1">
      <c r="A7" s="45">
        <f>Lists!$A$3</f>
        <v/>
      </c>
      <c r="B7" s="46" t="n"/>
      <c r="C7" s="46" t="n"/>
      <c r="D7" s="46" t="n"/>
      <c r="E7" s="46" t="n"/>
      <c r="F7" s="47" t="n"/>
      <c r="G7" s="46" t="n"/>
      <c r="H7" s="46" t="n"/>
      <c r="I7" s="46" t="n"/>
      <c r="J7" s="46" t="n"/>
      <c r="K7" s="47" t="n"/>
      <c r="L7" s="46" t="n"/>
      <c r="M7" s="46" t="n"/>
      <c r="N7" s="46" t="n"/>
      <c r="O7" s="46" t="n"/>
      <c r="P7" s="47" t="n"/>
      <c r="Q7" s="46" t="n"/>
      <c r="R7" s="46" t="n"/>
      <c r="S7" s="46" t="n"/>
      <c r="T7" s="46" t="n"/>
      <c r="U7" s="47" t="n"/>
      <c r="V7" s="46" t="n"/>
      <c r="W7" s="46" t="n"/>
      <c r="X7" s="46" t="n"/>
      <c r="Y7" s="46" t="n"/>
      <c r="Z7" s="47" t="n"/>
      <c r="AA7" s="46" t="n"/>
      <c r="AB7" s="46" t="n"/>
      <c r="AC7" s="46" t="n"/>
      <c r="AD7" s="46" t="n"/>
      <c r="AE7" s="48" t="n"/>
      <c r="AF7" s="46" t="n"/>
      <c r="AG7" s="46" t="n"/>
      <c r="AH7" s="46" t="n"/>
      <c r="AI7" s="46" t="n"/>
      <c r="AJ7" s="47" t="n"/>
      <c r="AK7" s="46" t="n"/>
      <c r="AL7" s="46" t="n"/>
      <c r="AM7" s="46" t="n"/>
      <c r="AN7" s="46" t="n"/>
      <c r="AO7" s="47" t="n"/>
      <c r="AP7" s="46" t="n"/>
      <c r="AQ7" s="46" t="n"/>
      <c r="AR7" s="46" t="n"/>
      <c r="AS7" s="46" t="n"/>
      <c r="AT7" s="47" t="n"/>
      <c r="AU7" s="46" t="n"/>
      <c r="AV7" s="46" t="n"/>
      <c r="AW7" s="46" t="n"/>
      <c r="AX7" s="46" t="n"/>
      <c r="AY7" s="47" t="n"/>
      <c r="AZ7" s="46" t="n"/>
      <c r="BA7" s="46" t="n"/>
      <c r="BB7" s="46" t="n"/>
      <c r="BC7" s="46" t="n"/>
      <c r="BD7" s="47" t="n"/>
      <c r="BE7" s="46" t="n"/>
      <c r="BF7" s="46" t="n"/>
      <c r="BG7" s="46" t="n"/>
      <c r="BH7" s="46" t="n"/>
      <c r="BI7" s="48" t="n"/>
      <c r="BJ7" s="46" t="n"/>
      <c r="BK7" s="46" t="n"/>
      <c r="BL7" s="46" t="n"/>
      <c r="BM7" s="46" t="n"/>
      <c r="BN7" s="47" t="n"/>
      <c r="BO7" s="46" t="n"/>
      <c r="BP7" s="46" t="n"/>
      <c r="BQ7" s="46" t="n"/>
      <c r="BR7" s="46" t="n"/>
      <c r="BS7" s="47" t="n"/>
      <c r="BT7" s="46" t="n"/>
      <c r="BU7" s="46" t="n"/>
      <c r="BV7" s="46" t="n"/>
      <c r="BW7" s="46" t="n"/>
      <c r="BX7" s="47" t="n"/>
      <c r="BY7" s="46" t="n"/>
      <c r="BZ7" s="46" t="n"/>
      <c r="CA7" s="46" t="n"/>
      <c r="CB7" s="46" t="n"/>
      <c r="CC7" s="47" t="n"/>
      <c r="CD7" s="46" t="n"/>
      <c r="CE7" s="46" t="n"/>
      <c r="CF7" s="46" t="n"/>
      <c r="CG7" s="46" t="n"/>
      <c r="CH7" s="47" t="n"/>
      <c r="CI7" s="46" t="n"/>
      <c r="CJ7" s="46" t="n"/>
      <c r="CK7" s="46" t="n"/>
      <c r="CL7" s="46" t="n"/>
      <c r="CM7" s="48" t="n"/>
      <c r="CN7" s="46" t="n"/>
      <c r="CO7" s="46" t="n"/>
      <c r="CP7" s="46" t="n"/>
      <c r="CQ7" s="46" t="n"/>
      <c r="CR7" s="47" t="n"/>
      <c r="CS7" s="46" t="n"/>
      <c r="CT7" s="46" t="n"/>
      <c r="CU7" s="46" t="n"/>
      <c r="CV7" s="46" t="n"/>
      <c r="CW7" s="47" t="n"/>
      <c r="CX7" s="46" t="n"/>
      <c r="CY7" s="46" t="n"/>
      <c r="CZ7" s="46" t="n"/>
      <c r="DA7" s="46" t="n"/>
      <c r="DB7" s="47" t="n"/>
      <c r="DC7" s="46" t="n"/>
      <c r="DD7" s="46" t="n"/>
      <c r="DE7" s="46" t="n"/>
      <c r="DF7" s="46" t="n"/>
      <c r="DG7" s="47" t="n"/>
      <c r="DH7" s="46" t="n"/>
      <c r="DI7" s="46" t="n"/>
      <c r="DJ7" s="46" t="n"/>
      <c r="DK7" s="46" t="n"/>
      <c r="DL7" s="47" t="n"/>
      <c r="DM7" s="46" t="n"/>
      <c r="DN7" s="46" t="n"/>
      <c r="DO7" s="46" t="n"/>
      <c r="DP7" s="46" t="n"/>
      <c r="DQ7" s="48" t="n"/>
      <c r="DR7" s="46" t="n"/>
      <c r="DS7" s="46" t="n"/>
      <c r="DT7" s="46" t="n"/>
      <c r="DU7" s="46" t="n"/>
      <c r="DV7" s="47" t="n"/>
      <c r="DW7" s="46" t="n"/>
      <c r="DX7" s="46" t="n"/>
      <c r="DY7" s="46" t="n"/>
      <c r="DZ7" s="46" t="n"/>
      <c r="EA7" s="47" t="n"/>
    </row>
    <row r="8" ht="18" customHeight="1">
      <c r="A8" s="45">
        <f>Lists!$A$4</f>
        <v/>
      </c>
      <c r="B8" s="46" t="n"/>
      <c r="C8" s="46" t="n"/>
      <c r="D8" s="46" t="n"/>
      <c r="E8" s="46" t="n"/>
      <c r="F8" s="47" t="n"/>
      <c r="G8" s="46" t="n"/>
      <c r="H8" s="46" t="n"/>
      <c r="I8" s="46" t="n"/>
      <c r="J8" s="46" t="n"/>
      <c r="K8" s="47" t="n"/>
      <c r="L8" s="46" t="n"/>
      <c r="M8" s="46" t="n"/>
      <c r="N8" s="46" t="n"/>
      <c r="O8" s="46" t="n"/>
      <c r="P8" s="47" t="n"/>
      <c r="Q8" s="46" t="n"/>
      <c r="R8" s="46" t="n"/>
      <c r="S8" s="46" t="n"/>
      <c r="T8" s="46" t="n"/>
      <c r="U8" s="47" t="n"/>
      <c r="V8" s="46" t="n"/>
      <c r="W8" s="46" t="n"/>
      <c r="X8" s="46" t="n"/>
      <c r="Y8" s="46" t="n"/>
      <c r="Z8" s="47" t="n"/>
      <c r="AA8" s="46" t="n"/>
      <c r="AB8" s="46" t="n"/>
      <c r="AC8" s="46" t="n"/>
      <c r="AD8" s="46" t="n"/>
      <c r="AE8" s="48" t="n"/>
      <c r="AF8" s="46" t="n"/>
      <c r="AG8" s="46" t="n"/>
      <c r="AH8" s="46" t="n"/>
      <c r="AI8" s="46" t="n"/>
      <c r="AJ8" s="47" t="n"/>
      <c r="AK8" s="46" t="n"/>
      <c r="AL8" s="46" t="n"/>
      <c r="AM8" s="46" t="n"/>
      <c r="AN8" s="46" t="n"/>
      <c r="AO8" s="47" t="n"/>
      <c r="AP8" s="46" t="n"/>
      <c r="AQ8" s="46" t="n"/>
      <c r="AR8" s="46" t="n"/>
      <c r="AS8" s="46" t="n"/>
      <c r="AT8" s="47" t="n"/>
      <c r="AU8" s="46" t="n"/>
      <c r="AV8" s="46" t="n"/>
      <c r="AW8" s="46" t="n"/>
      <c r="AX8" s="46" t="n"/>
      <c r="AY8" s="47" t="n"/>
      <c r="AZ8" s="46" t="n"/>
      <c r="BA8" s="46" t="n"/>
      <c r="BB8" s="46" t="n"/>
      <c r="BC8" s="46" t="n"/>
      <c r="BD8" s="47" t="n"/>
      <c r="BE8" s="46" t="n"/>
      <c r="BF8" s="46" t="n"/>
      <c r="BG8" s="46" t="n"/>
      <c r="BH8" s="46" t="n"/>
      <c r="BI8" s="48" t="n"/>
      <c r="BJ8" s="46" t="n"/>
      <c r="BK8" s="46" t="n"/>
      <c r="BL8" s="46" t="n"/>
      <c r="BM8" s="46" t="n"/>
      <c r="BN8" s="47" t="n"/>
      <c r="BO8" s="46" t="n"/>
      <c r="BP8" s="46" t="n"/>
      <c r="BQ8" s="46" t="n"/>
      <c r="BR8" s="46" t="n"/>
      <c r="BS8" s="47" t="n"/>
      <c r="BT8" s="46" t="n"/>
      <c r="BU8" s="46" t="n"/>
      <c r="BV8" s="46" t="n"/>
      <c r="BW8" s="46" t="n"/>
      <c r="BX8" s="47" t="n"/>
      <c r="BY8" s="46" t="n"/>
      <c r="BZ8" s="46" t="n"/>
      <c r="CA8" s="46" t="n"/>
      <c r="CB8" s="46" t="n"/>
      <c r="CC8" s="47" t="n"/>
      <c r="CD8" s="46" t="n"/>
      <c r="CE8" s="46" t="n"/>
      <c r="CF8" s="46" t="n"/>
      <c r="CG8" s="46" t="n"/>
      <c r="CH8" s="47" t="n"/>
      <c r="CI8" s="46" t="n"/>
      <c r="CJ8" s="46" t="n"/>
      <c r="CK8" s="46" t="n"/>
      <c r="CL8" s="46" t="n"/>
      <c r="CM8" s="48" t="n"/>
      <c r="CN8" s="46" t="n"/>
      <c r="CO8" s="46" t="n"/>
      <c r="CP8" s="46" t="n"/>
      <c r="CQ8" s="46" t="n"/>
      <c r="CR8" s="47" t="n"/>
      <c r="CS8" s="46" t="n"/>
      <c r="CT8" s="46" t="n"/>
      <c r="CU8" s="46" t="n"/>
      <c r="CV8" s="46" t="n"/>
      <c r="CW8" s="47" t="n"/>
      <c r="CX8" s="46" t="n"/>
      <c r="CY8" s="46" t="n"/>
      <c r="CZ8" s="46" t="n"/>
      <c r="DA8" s="46" t="n"/>
      <c r="DB8" s="47" t="n"/>
      <c r="DC8" s="46" t="n"/>
      <c r="DD8" s="46" t="n"/>
      <c r="DE8" s="46" t="n"/>
      <c r="DF8" s="46" t="n"/>
      <c r="DG8" s="47" t="n"/>
      <c r="DH8" s="46" t="n"/>
      <c r="DI8" s="46" t="n"/>
      <c r="DJ8" s="46" t="n"/>
      <c r="DK8" s="46" t="n"/>
      <c r="DL8" s="47" t="n"/>
      <c r="DM8" s="46" t="n"/>
      <c r="DN8" s="46" t="n"/>
      <c r="DO8" s="46" t="n"/>
      <c r="DP8" s="46" t="n"/>
      <c r="DQ8" s="48" t="n"/>
      <c r="DR8" s="46" t="n"/>
      <c r="DS8" s="46" t="n"/>
      <c r="DT8" s="46" t="n"/>
      <c r="DU8" s="46" t="n"/>
      <c r="DV8" s="47" t="n"/>
      <c r="DW8" s="46" t="n"/>
      <c r="DX8" s="46" t="n"/>
      <c r="DY8" s="46" t="n"/>
      <c r="DZ8" s="46" t="n"/>
      <c r="EA8" s="47" t="n"/>
    </row>
    <row r="9" ht="18" customHeight="1">
      <c r="A9" s="45">
        <f>Lists!$A$5</f>
        <v/>
      </c>
      <c r="B9" s="46" t="n"/>
      <c r="C9" s="46" t="n"/>
      <c r="D9" s="46" t="n"/>
      <c r="E9" s="46" t="n"/>
      <c r="F9" s="47" t="n"/>
      <c r="G9" s="46" t="n"/>
      <c r="H9" s="46" t="n"/>
      <c r="I9" s="46" t="n"/>
      <c r="J9" s="46" t="n"/>
      <c r="K9" s="47" t="n"/>
      <c r="L9" s="46" t="n"/>
      <c r="M9" s="46" t="n"/>
      <c r="N9" s="46" t="n"/>
      <c r="O9" s="46" t="n"/>
      <c r="P9" s="47" t="n"/>
      <c r="Q9" s="46" t="n"/>
      <c r="R9" s="46" t="n"/>
      <c r="S9" s="46" t="n"/>
      <c r="T9" s="46" t="n"/>
      <c r="U9" s="47" t="n"/>
      <c r="V9" s="46" t="n"/>
      <c r="W9" s="46" t="n"/>
      <c r="X9" s="46" t="n"/>
      <c r="Y9" s="46" t="n"/>
      <c r="Z9" s="47" t="n"/>
      <c r="AA9" s="46" t="n"/>
      <c r="AB9" s="46" t="n"/>
      <c r="AC9" s="46" t="n"/>
      <c r="AD9" s="46" t="n"/>
      <c r="AE9" s="48" t="n"/>
      <c r="AF9" s="46" t="n"/>
      <c r="AG9" s="46" t="n"/>
      <c r="AH9" s="46" t="n"/>
      <c r="AI9" s="46" t="n"/>
      <c r="AJ9" s="47" t="n"/>
      <c r="AK9" s="46" t="n"/>
      <c r="AL9" s="46" t="n"/>
      <c r="AM9" s="46" t="n"/>
      <c r="AN9" s="46" t="n"/>
      <c r="AO9" s="47" t="n"/>
      <c r="AP9" s="46" t="n"/>
      <c r="AQ9" s="46" t="n"/>
      <c r="AR9" s="46" t="n"/>
      <c r="AS9" s="46" t="n"/>
      <c r="AT9" s="47" t="n"/>
      <c r="AU9" s="46" t="n"/>
      <c r="AV9" s="46" t="n"/>
      <c r="AW9" s="46" t="n"/>
      <c r="AX9" s="46" t="n"/>
      <c r="AY9" s="47" t="n"/>
      <c r="AZ9" s="46" t="n"/>
      <c r="BA9" s="46" t="n"/>
      <c r="BB9" s="46" t="n"/>
      <c r="BC9" s="46" t="n"/>
      <c r="BD9" s="47" t="n"/>
      <c r="BE9" s="46" t="n"/>
      <c r="BF9" s="46" t="n"/>
      <c r="BG9" s="46" t="n"/>
      <c r="BH9" s="46" t="n"/>
      <c r="BI9" s="48" t="n"/>
      <c r="BJ9" s="46" t="n"/>
      <c r="BK9" s="46" t="n"/>
      <c r="BL9" s="46" t="n"/>
      <c r="BM9" s="46" t="n"/>
      <c r="BN9" s="47" t="n"/>
      <c r="BO9" s="46" t="n"/>
      <c r="BP9" s="46" t="n"/>
      <c r="BQ9" s="46" t="n"/>
      <c r="BR9" s="46" t="n"/>
      <c r="BS9" s="47" t="n"/>
      <c r="BT9" s="46" t="n"/>
      <c r="BU9" s="46" t="n"/>
      <c r="BV9" s="46" t="n"/>
      <c r="BW9" s="46" t="n"/>
      <c r="BX9" s="47" t="n"/>
      <c r="BY9" s="46" t="n"/>
      <c r="BZ9" s="46" t="n"/>
      <c r="CA9" s="46" t="n"/>
      <c r="CB9" s="46" t="n"/>
      <c r="CC9" s="47" t="n"/>
      <c r="CD9" s="46" t="n"/>
      <c r="CE9" s="46" t="n"/>
      <c r="CF9" s="46" t="n"/>
      <c r="CG9" s="46" t="n"/>
      <c r="CH9" s="47" t="n"/>
      <c r="CI9" s="46" t="n"/>
      <c r="CJ9" s="46" t="n"/>
      <c r="CK9" s="46" t="n"/>
      <c r="CL9" s="46" t="n"/>
      <c r="CM9" s="48" t="n"/>
      <c r="CN9" s="46" t="n"/>
      <c r="CO9" s="46" t="n"/>
      <c r="CP9" s="46" t="n"/>
      <c r="CQ9" s="46" t="n"/>
      <c r="CR9" s="47" t="n"/>
      <c r="CS9" s="46" t="n"/>
      <c r="CT9" s="46" t="n"/>
      <c r="CU9" s="46" t="n"/>
      <c r="CV9" s="46" t="n"/>
      <c r="CW9" s="47" t="n"/>
      <c r="CX9" s="46" t="n"/>
      <c r="CY9" s="46" t="n"/>
      <c r="CZ9" s="46" t="n"/>
      <c r="DA9" s="46" t="n"/>
      <c r="DB9" s="47" t="n"/>
      <c r="DC9" s="46" t="n"/>
      <c r="DD9" s="46" t="n"/>
      <c r="DE9" s="46" t="n"/>
      <c r="DF9" s="46" t="n"/>
      <c r="DG9" s="47" t="n"/>
      <c r="DH9" s="46" t="n"/>
      <c r="DI9" s="46" t="n"/>
      <c r="DJ9" s="46" t="n"/>
      <c r="DK9" s="46" t="n"/>
      <c r="DL9" s="47" t="n"/>
      <c r="DM9" s="46" t="n"/>
      <c r="DN9" s="46" t="n"/>
      <c r="DO9" s="46" t="n"/>
      <c r="DP9" s="46" t="n"/>
      <c r="DQ9" s="48" t="n"/>
      <c r="DR9" s="46" t="n"/>
      <c r="DS9" s="46" t="n"/>
      <c r="DT9" s="46" t="n"/>
      <c r="DU9" s="46" t="n"/>
      <c r="DV9" s="47" t="n"/>
      <c r="DW9" s="46" t="n"/>
      <c r="DX9" s="46" t="n"/>
      <c r="DY9" s="46" t="n"/>
      <c r="DZ9" s="46" t="n"/>
      <c r="EA9" s="47" t="n"/>
    </row>
    <row r="10" ht="18" customHeight="1">
      <c r="A10" s="45">
        <f>Lists!$A$6</f>
        <v/>
      </c>
      <c r="B10" s="49" t="n"/>
      <c r="C10" s="49" t="n"/>
      <c r="D10" s="49" t="n"/>
      <c r="E10" s="49" t="n"/>
      <c r="F10" s="50" t="n"/>
      <c r="G10" s="49" t="n"/>
      <c r="H10" s="49" t="n"/>
      <c r="I10" s="49" t="n"/>
      <c r="J10" s="49" t="n"/>
      <c r="K10" s="50" t="n"/>
      <c r="L10" s="49" t="n"/>
      <c r="M10" s="49" t="n"/>
      <c r="N10" s="49" t="n"/>
      <c r="O10" s="49" t="n"/>
      <c r="P10" s="50" t="n"/>
      <c r="Q10" s="49" t="n"/>
      <c r="R10" s="49" t="n"/>
      <c r="S10" s="49" t="n"/>
      <c r="T10" s="49" t="n"/>
      <c r="U10" s="50" t="n"/>
      <c r="V10" s="49" t="n"/>
      <c r="W10" s="49" t="n"/>
      <c r="X10" s="49" t="n"/>
      <c r="Y10" s="49" t="n"/>
      <c r="Z10" s="50" t="n"/>
      <c r="AA10" s="49" t="n"/>
      <c r="AB10" s="49" t="n"/>
      <c r="AC10" s="49" t="n"/>
      <c r="AD10" s="49" t="n"/>
      <c r="AE10" s="51" t="n"/>
      <c r="AF10" s="49" t="n"/>
      <c r="AG10" s="49" t="n"/>
      <c r="AH10" s="49" t="n"/>
      <c r="AI10" s="49" t="n"/>
      <c r="AJ10" s="50" t="n"/>
      <c r="AK10" s="49" t="n"/>
      <c r="AL10" s="49" t="n"/>
      <c r="AM10" s="49" t="n"/>
      <c r="AN10" s="49" t="n"/>
      <c r="AO10" s="50" t="n"/>
      <c r="AP10" s="49" t="n"/>
      <c r="AQ10" s="49" t="n"/>
      <c r="AR10" s="49" t="n"/>
      <c r="AS10" s="49" t="n"/>
      <c r="AT10" s="50" t="n"/>
      <c r="AU10" s="49" t="n"/>
      <c r="AV10" s="49" t="n"/>
      <c r="AW10" s="49" t="n"/>
      <c r="AX10" s="49" t="n"/>
      <c r="AY10" s="50" t="n"/>
      <c r="AZ10" s="49" t="n"/>
      <c r="BA10" s="49" t="n"/>
      <c r="BB10" s="49" t="n"/>
      <c r="BC10" s="49" t="n"/>
      <c r="BD10" s="50" t="n"/>
      <c r="BE10" s="49" t="n"/>
      <c r="BF10" s="49" t="n"/>
      <c r="BG10" s="49" t="n"/>
      <c r="BH10" s="49" t="n"/>
      <c r="BI10" s="51" t="n"/>
      <c r="BJ10" s="49" t="n"/>
      <c r="BK10" s="49" t="n"/>
      <c r="BL10" s="49" t="n"/>
      <c r="BM10" s="49" t="n"/>
      <c r="BN10" s="50" t="n"/>
      <c r="BO10" s="49" t="n"/>
      <c r="BP10" s="49" t="n"/>
      <c r="BQ10" s="49" t="n"/>
      <c r="BR10" s="49" t="n"/>
      <c r="BS10" s="50" t="n"/>
      <c r="BT10" s="49" t="n"/>
      <c r="BU10" s="49" t="n"/>
      <c r="BV10" s="49" t="n"/>
      <c r="BW10" s="49" t="n"/>
      <c r="BX10" s="50" t="n"/>
      <c r="BY10" s="49" t="n"/>
      <c r="BZ10" s="49" t="n"/>
      <c r="CA10" s="49" t="n"/>
      <c r="CB10" s="49" t="n"/>
      <c r="CC10" s="50" t="n"/>
      <c r="CD10" s="49" t="n"/>
      <c r="CE10" s="49" t="n"/>
      <c r="CF10" s="49" t="n"/>
      <c r="CG10" s="49" t="n"/>
      <c r="CH10" s="50" t="n"/>
      <c r="CI10" s="49" t="n"/>
      <c r="CJ10" s="49" t="n"/>
      <c r="CK10" s="49" t="n"/>
      <c r="CL10" s="49" t="n"/>
      <c r="CM10" s="51" t="n"/>
      <c r="CN10" s="49" t="n"/>
      <c r="CO10" s="49" t="n"/>
      <c r="CP10" s="49" t="n"/>
      <c r="CQ10" s="49" t="n"/>
      <c r="CR10" s="50" t="n"/>
      <c r="CS10" s="49" t="n"/>
      <c r="CT10" s="49" t="n"/>
      <c r="CU10" s="49" t="n"/>
      <c r="CV10" s="49" t="n"/>
      <c r="CW10" s="50" t="n"/>
      <c r="CX10" s="49" t="n"/>
      <c r="CY10" s="49" t="n"/>
      <c r="CZ10" s="49" t="n"/>
      <c r="DA10" s="49" t="n"/>
      <c r="DB10" s="50" t="n"/>
      <c r="DC10" s="49" t="n"/>
      <c r="DD10" s="49" t="n"/>
      <c r="DE10" s="49" t="n"/>
      <c r="DF10" s="49" t="n"/>
      <c r="DG10" s="50" t="n"/>
      <c r="DH10" s="49" t="n"/>
      <c r="DI10" s="49" t="n"/>
      <c r="DJ10" s="49" t="n"/>
      <c r="DK10" s="49" t="n"/>
      <c r="DL10" s="50" t="n"/>
      <c r="DM10" s="49" t="n"/>
      <c r="DN10" s="49" t="n"/>
      <c r="DO10" s="49" t="n"/>
      <c r="DP10" s="49" t="n"/>
      <c r="DQ10" s="51" t="n"/>
      <c r="DR10" s="49" t="n"/>
      <c r="DS10" s="49" t="n"/>
      <c r="DT10" s="49" t="n"/>
      <c r="DU10" s="49" t="n"/>
      <c r="DV10" s="50" t="n"/>
      <c r="DW10" s="49" t="n"/>
      <c r="DX10" s="49" t="n"/>
      <c r="DY10" s="49" t="n"/>
      <c r="DZ10" s="49" t="n"/>
      <c r="EA10" s="50" t="n"/>
    </row>
    <row r="13">
      <c r="A13" s="52" t="inlineStr">
        <is>
          <t>Days per Project (current timeline)</t>
        </is>
      </c>
    </row>
    <row r="14">
      <c r="A14" s="53" t="inlineStr">
        <is>
          <t>Project</t>
        </is>
      </c>
      <c r="B14" s="53">
        <f>Lists!$A$2</f>
        <v/>
      </c>
      <c r="C14" s="53">
        <f>Lists!$A$3</f>
        <v/>
      </c>
      <c r="D14" s="53">
        <f>Lists!$A$4</f>
        <v/>
      </c>
      <c r="E14" s="53">
        <f>Lists!$A$5</f>
        <v/>
      </c>
      <c r="F14" s="53">
        <f>Lists!$A$6</f>
        <v/>
      </c>
      <c r="G14" s="53" t="inlineStr">
        <is>
          <t>Total Days</t>
        </is>
      </c>
    </row>
    <row r="15">
      <c r="A15" s="7">
        <f>Lists!$C$2</f>
        <v/>
      </c>
      <c r="B15" s="6">
        <f>COUNTIF(B6:EA6,$A15)</f>
        <v/>
      </c>
      <c r="C15" s="6">
        <f>COUNTIF(B7:EA7,$A15)</f>
        <v/>
      </c>
      <c r="D15" s="6">
        <f>COUNTIF(B8:EA8,$A15)</f>
        <v/>
      </c>
      <c r="E15" s="6">
        <f>COUNTIF(B9:EA9,$A15)</f>
        <v/>
      </c>
      <c r="F15" s="6">
        <f>COUNTIF(B10:EA10,$A15)</f>
        <v/>
      </c>
      <c r="G15" s="6">
        <f>SUM(B15:F15)</f>
        <v/>
      </c>
    </row>
    <row r="16">
      <c r="A16" s="8">
        <f>Lists!$C$3</f>
        <v/>
      </c>
      <c r="B16" s="6">
        <f>COUNTIF(B6:EA6,$A16)</f>
        <v/>
      </c>
      <c r="C16" s="6">
        <f>COUNTIF(B7:EA7,$A16)</f>
        <v/>
      </c>
      <c r="D16" s="6">
        <f>COUNTIF(B8:EA8,$A16)</f>
        <v/>
      </c>
      <c r="E16" s="6">
        <f>COUNTIF(B9:EA9,$A16)</f>
        <v/>
      </c>
      <c r="F16" s="6">
        <f>COUNTIF(B10:EA10,$A16)</f>
        <v/>
      </c>
      <c r="G16" s="6">
        <f>SUM(B16:F16)</f>
        <v/>
      </c>
    </row>
    <row r="17">
      <c r="A17" s="9">
        <f>Lists!$C$4</f>
        <v/>
      </c>
      <c r="B17" s="6">
        <f>COUNTIF(B6:EA6,$A17)</f>
        <v/>
      </c>
      <c r="C17" s="6">
        <f>COUNTIF(B7:EA7,$A17)</f>
        <v/>
      </c>
      <c r="D17" s="6">
        <f>COUNTIF(B8:EA8,$A17)</f>
        <v/>
      </c>
      <c r="E17" s="6">
        <f>COUNTIF(B9:EA9,$A17)</f>
        <v/>
      </c>
      <c r="F17" s="6">
        <f>COUNTIF(B10:EA10,$A17)</f>
        <v/>
      </c>
      <c r="G17" s="6">
        <f>SUM(B17:F17)</f>
        <v/>
      </c>
    </row>
    <row r="18">
      <c r="A18" s="10">
        <f>Lists!$C$5</f>
        <v/>
      </c>
      <c r="B18" s="6">
        <f>COUNTIF(B6:EA6,$A18)</f>
        <v/>
      </c>
      <c r="C18" s="6">
        <f>COUNTIF(B7:EA7,$A18)</f>
        <v/>
      </c>
      <c r="D18" s="6">
        <f>COUNTIF(B8:EA8,$A18)</f>
        <v/>
      </c>
      <c r="E18" s="6">
        <f>COUNTIF(B9:EA9,$A18)</f>
        <v/>
      </c>
      <c r="F18" s="6">
        <f>COUNTIF(B10:EA10,$A18)</f>
        <v/>
      </c>
      <c r="G18" s="6">
        <f>SUM(B18:F18)</f>
        <v/>
      </c>
    </row>
    <row r="19">
      <c r="A19" s="11">
        <f>Lists!$C$6</f>
        <v/>
      </c>
      <c r="B19" s="6">
        <f>COUNTIF(B6:EA6,$A19)</f>
        <v/>
      </c>
      <c r="C19" s="6">
        <f>COUNTIF(B7:EA7,$A19)</f>
        <v/>
      </c>
      <c r="D19" s="6">
        <f>COUNTIF(B8:EA8,$A19)</f>
        <v/>
      </c>
      <c r="E19" s="6">
        <f>COUNTIF(B9:EA9,$A19)</f>
        <v/>
      </c>
      <c r="F19" s="6">
        <f>COUNTIF(B10:EA10,$A19)</f>
        <v/>
      </c>
      <c r="G19" s="6">
        <f>SUM(B19:F19)</f>
        <v/>
      </c>
    </row>
    <row r="20">
      <c r="A20" s="12">
        <f>Lists!$C$7</f>
        <v/>
      </c>
      <c r="B20" s="6">
        <f>COUNTIF(B6:EA6,$A20)</f>
        <v/>
      </c>
      <c r="C20" s="6">
        <f>COUNTIF(B7:EA7,$A20)</f>
        <v/>
      </c>
      <c r="D20" s="6">
        <f>COUNTIF(B8:EA8,$A20)</f>
        <v/>
      </c>
      <c r="E20" s="6">
        <f>COUNTIF(B9:EA9,$A20)</f>
        <v/>
      </c>
      <c r="F20" s="6">
        <f>COUNTIF(B10:EA10,$A20)</f>
        <v/>
      </c>
      <c r="G20" s="6">
        <f>SUM(B20:F20)</f>
        <v/>
      </c>
    </row>
    <row r="21">
      <c r="A21" s="13">
        <f>Lists!$C$8</f>
        <v/>
      </c>
      <c r="B21" s="6">
        <f>COUNTIF(B6:EA6,$A21)</f>
        <v/>
      </c>
      <c r="C21" s="6">
        <f>COUNTIF(B7:EA7,$A21)</f>
        <v/>
      </c>
      <c r="D21" s="6">
        <f>COUNTIF(B8:EA8,$A21)</f>
        <v/>
      </c>
      <c r="E21" s="6">
        <f>COUNTIF(B9:EA9,$A21)</f>
        <v/>
      </c>
      <c r="F21" s="6">
        <f>COUNTIF(B10:EA10,$A21)</f>
        <v/>
      </c>
      <c r="G21" s="6">
        <f>SUM(B21:F21)</f>
        <v/>
      </c>
    </row>
    <row r="22">
      <c r="A22" s="14">
        <f>Lists!$C$9</f>
        <v/>
      </c>
      <c r="B22" s="6">
        <f>COUNTIF(B6:EA6,$A22)</f>
        <v/>
      </c>
      <c r="C22" s="6">
        <f>COUNTIF(B7:EA7,$A22)</f>
        <v/>
      </c>
      <c r="D22" s="6">
        <f>COUNTIF(B8:EA8,$A22)</f>
        <v/>
      </c>
      <c r="E22" s="6">
        <f>COUNTIF(B9:EA9,$A22)</f>
        <v/>
      </c>
      <c r="F22" s="6">
        <f>COUNTIF(B10:EA10,$A22)</f>
        <v/>
      </c>
      <c r="G22" s="6">
        <f>SUM(B22:F22)</f>
        <v/>
      </c>
    </row>
    <row r="23">
      <c r="A23" s="15">
        <f>Lists!$C$10</f>
        <v/>
      </c>
      <c r="B23" s="6">
        <f>COUNTIF(B6:EA6,$A23)</f>
        <v/>
      </c>
      <c r="C23" s="6">
        <f>COUNTIF(B7:EA7,$A23)</f>
        <v/>
      </c>
      <c r="D23" s="6">
        <f>COUNTIF(B8:EA8,$A23)</f>
        <v/>
      </c>
      <c r="E23" s="6">
        <f>COUNTIF(B9:EA9,$A23)</f>
        <v/>
      </c>
      <c r="F23" s="6">
        <f>COUNTIF(B10:EA10,$A23)</f>
        <v/>
      </c>
      <c r="G23" s="6">
        <f>SUM(B23:F23)</f>
        <v/>
      </c>
    </row>
    <row r="24">
      <c r="A24" s="16">
        <f>Lists!$C$11</f>
        <v/>
      </c>
      <c r="B24" s="6">
        <f>COUNTIF(B6:EA6,$A24)</f>
        <v/>
      </c>
      <c r="C24" s="6">
        <f>COUNTIF(B7:EA7,$A24)</f>
        <v/>
      </c>
      <c r="D24" s="6">
        <f>COUNTIF(B8:EA8,$A24)</f>
        <v/>
      </c>
      <c r="E24" s="6">
        <f>COUNTIF(B9:EA9,$A24)</f>
        <v/>
      </c>
      <c r="F24" s="6">
        <f>COUNTIF(B10:EA10,$A24)</f>
        <v/>
      </c>
      <c r="G24" s="6">
        <f>SUM(B24:F24)</f>
        <v/>
      </c>
    </row>
    <row r="25">
      <c r="A25" s="17">
        <f>Lists!$C$12</f>
        <v/>
      </c>
      <c r="B25" s="6">
        <f>COUNTIF(B6:EA6,$A25)</f>
        <v/>
      </c>
      <c r="C25" s="6">
        <f>COUNTIF(B7:EA7,$A25)</f>
        <v/>
      </c>
      <c r="D25" s="6">
        <f>COUNTIF(B8:EA8,$A25)</f>
        <v/>
      </c>
      <c r="E25" s="6">
        <f>COUNTIF(B9:EA9,$A25)</f>
        <v/>
      </c>
      <c r="F25" s="6">
        <f>COUNTIF(B10:EA10,$A25)</f>
        <v/>
      </c>
      <c r="G25" s="6">
        <f>SUM(B25:F25)</f>
        <v/>
      </c>
    </row>
    <row r="26">
      <c r="A26" s="18">
        <f>Lists!$C$13</f>
        <v/>
      </c>
      <c r="B26" s="6">
        <f>COUNTIF(B6:EA6,$A26)</f>
        <v/>
      </c>
      <c r="C26" s="6">
        <f>COUNTIF(B7:EA7,$A26)</f>
        <v/>
      </c>
      <c r="D26" s="6">
        <f>COUNTIF(B8:EA8,$A26)</f>
        <v/>
      </c>
      <c r="E26" s="6">
        <f>COUNTIF(B9:EA9,$A26)</f>
        <v/>
      </c>
      <c r="F26" s="6">
        <f>COUNTIF(B10:EA10,$A26)</f>
        <v/>
      </c>
      <c r="G26" s="6">
        <f>SUM(B26:F26)</f>
        <v/>
      </c>
    </row>
    <row r="27">
      <c r="A27" s="19">
        <f>Lists!$C$14</f>
        <v/>
      </c>
      <c r="B27" s="6">
        <f>COUNTIF(B6:EA6,$A27)</f>
        <v/>
      </c>
      <c r="C27" s="6">
        <f>COUNTIF(B7:EA7,$A27)</f>
        <v/>
      </c>
      <c r="D27" s="6">
        <f>COUNTIF(B8:EA8,$A27)</f>
        <v/>
      </c>
      <c r="E27" s="6">
        <f>COUNTIF(B9:EA9,$A27)</f>
        <v/>
      </c>
      <c r="F27" s="6">
        <f>COUNTIF(B10:EA10,$A27)</f>
        <v/>
      </c>
      <c r="G27" s="6">
        <f>SUM(B27:F27)</f>
        <v/>
      </c>
    </row>
    <row r="28">
      <c r="A28" s="20">
        <f>Lists!$C$15</f>
        <v/>
      </c>
      <c r="B28" s="6">
        <f>COUNTIF(B6:EA6,$A28)</f>
        <v/>
      </c>
      <c r="C28" s="6">
        <f>COUNTIF(B7:EA7,$A28)</f>
        <v/>
      </c>
      <c r="D28" s="6">
        <f>COUNTIF(B8:EA8,$A28)</f>
        <v/>
      </c>
      <c r="E28" s="6">
        <f>COUNTIF(B9:EA9,$A28)</f>
        <v/>
      </c>
      <c r="F28" s="6">
        <f>COUNTIF(B10:EA10,$A28)</f>
        <v/>
      </c>
      <c r="G28" s="6">
        <f>SUM(B28:F28)</f>
        <v/>
      </c>
    </row>
    <row r="29">
      <c r="A29" s="21">
        <f>Lists!$C$16</f>
        <v/>
      </c>
      <c r="B29" s="6">
        <f>COUNTIF(B6:EA6,$A29)</f>
        <v/>
      </c>
      <c r="C29" s="6">
        <f>COUNTIF(B7:EA7,$A29)</f>
        <v/>
      </c>
      <c r="D29" s="6">
        <f>COUNTIF(B8:EA8,$A29)</f>
        <v/>
      </c>
      <c r="E29" s="6">
        <f>COUNTIF(B9:EA9,$A29)</f>
        <v/>
      </c>
      <c r="F29" s="6">
        <f>COUNTIF(B10:EA10,$A29)</f>
        <v/>
      </c>
      <c r="G29" s="6">
        <f>SUM(B29:F29)</f>
        <v/>
      </c>
    </row>
    <row r="30">
      <c r="A30" s="22">
        <f>Lists!$C$17</f>
        <v/>
      </c>
      <c r="B30" s="6">
        <f>COUNTIF(B6:EA6,$A30)</f>
        <v/>
      </c>
      <c r="C30" s="6">
        <f>COUNTIF(B7:EA7,$A30)</f>
        <v/>
      </c>
      <c r="D30" s="6">
        <f>COUNTIF(B8:EA8,$A30)</f>
        <v/>
      </c>
      <c r="E30" s="6">
        <f>COUNTIF(B9:EA9,$A30)</f>
        <v/>
      </c>
      <c r="F30" s="6">
        <f>COUNTIF(B10:EA10,$A30)</f>
        <v/>
      </c>
      <c r="G30" s="6">
        <f>SUM(B30:F30)</f>
        <v/>
      </c>
    </row>
    <row r="31">
      <c r="A31" s="23">
        <f>Lists!$C$18</f>
        <v/>
      </c>
      <c r="B31" s="6">
        <f>COUNTIF(B6:EA6,$A31)</f>
        <v/>
      </c>
      <c r="C31" s="6">
        <f>COUNTIF(B7:EA7,$A31)</f>
        <v/>
      </c>
      <c r="D31" s="6">
        <f>COUNTIF(B8:EA8,$A31)</f>
        <v/>
      </c>
      <c r="E31" s="6">
        <f>COUNTIF(B9:EA9,$A31)</f>
        <v/>
      </c>
      <c r="F31" s="6">
        <f>COUNTIF(B10:EA10,$A31)</f>
        <v/>
      </c>
      <c r="G31" s="6">
        <f>SUM(B31:F31)</f>
        <v/>
      </c>
    </row>
    <row r="32">
      <c r="A32" s="24">
        <f>Lists!$C$19</f>
        <v/>
      </c>
      <c r="B32" s="6">
        <f>COUNTIF(B6:EA6,$A32)</f>
        <v/>
      </c>
      <c r="C32" s="6">
        <f>COUNTIF(B7:EA7,$A32)</f>
        <v/>
      </c>
      <c r="D32" s="6">
        <f>COUNTIF(B8:EA8,$A32)</f>
        <v/>
      </c>
      <c r="E32" s="6">
        <f>COUNTIF(B9:EA9,$A32)</f>
        <v/>
      </c>
      <c r="F32" s="6">
        <f>COUNTIF(B10:EA10,$A32)</f>
        <v/>
      </c>
      <c r="G32" s="6">
        <f>SUM(B32:F32)</f>
        <v/>
      </c>
    </row>
    <row r="33">
      <c r="A33" s="25">
        <f>Lists!$C$20</f>
        <v/>
      </c>
      <c r="B33" s="6">
        <f>COUNTIF(B6:EA6,$A33)</f>
        <v/>
      </c>
      <c r="C33" s="6">
        <f>COUNTIF(B7:EA7,$A33)</f>
        <v/>
      </c>
      <c r="D33" s="6">
        <f>COUNTIF(B8:EA8,$A33)</f>
        <v/>
      </c>
      <c r="E33" s="6">
        <f>COUNTIF(B9:EA9,$A33)</f>
        <v/>
      </c>
      <c r="F33" s="6">
        <f>COUNTIF(B10:EA10,$A33)</f>
        <v/>
      </c>
      <c r="G33" s="6">
        <f>SUM(B33:F33)</f>
        <v/>
      </c>
    </row>
    <row r="34">
      <c r="A34" s="26">
        <f>Lists!$C$21</f>
        <v/>
      </c>
      <c r="B34" s="6">
        <f>COUNTIF(B6:EA6,$A34)</f>
        <v/>
      </c>
      <c r="C34" s="6">
        <f>COUNTIF(B7:EA7,$A34)</f>
        <v/>
      </c>
      <c r="D34" s="6">
        <f>COUNTIF(B8:EA8,$A34)</f>
        <v/>
      </c>
      <c r="E34" s="6">
        <f>COUNTIF(B9:EA9,$A34)</f>
        <v/>
      </c>
      <c r="F34" s="6">
        <f>COUNTIF(B10:EA10,$A34)</f>
        <v/>
      </c>
      <c r="G34" s="6">
        <f>SUM(B34:F34)</f>
        <v/>
      </c>
    </row>
    <row r="35">
      <c r="A35" s="27">
        <f>Lists!$C$22</f>
        <v/>
      </c>
      <c r="B35" s="6">
        <f>COUNTIF(B6:EA6,$A35)</f>
        <v/>
      </c>
      <c r="C35" s="6">
        <f>COUNTIF(B7:EA7,$A35)</f>
        <v/>
      </c>
      <c r="D35" s="6">
        <f>COUNTIF(B8:EA8,$A35)</f>
        <v/>
      </c>
      <c r="E35" s="6">
        <f>COUNTIF(B9:EA9,$A35)</f>
        <v/>
      </c>
      <c r="F35" s="6">
        <f>COUNTIF(B10:EA10,$A35)</f>
        <v/>
      </c>
      <c r="G35" s="6">
        <f>SUM(B35:F35)</f>
        <v/>
      </c>
    </row>
    <row r="36">
      <c r="A36" s="28">
        <f>Lists!$C$23</f>
        <v/>
      </c>
      <c r="B36" s="6">
        <f>COUNTIF(B6:EA6,$A36)</f>
        <v/>
      </c>
      <c r="C36" s="6">
        <f>COUNTIF(B7:EA7,$A36)</f>
        <v/>
      </c>
      <c r="D36" s="6">
        <f>COUNTIF(B8:EA8,$A36)</f>
        <v/>
      </c>
      <c r="E36" s="6">
        <f>COUNTIF(B9:EA9,$A36)</f>
        <v/>
      </c>
      <c r="F36" s="6">
        <f>COUNTIF(B10:EA10,$A36)</f>
        <v/>
      </c>
      <c r="G36" s="6">
        <f>SUM(B36:F36)</f>
        <v/>
      </c>
    </row>
    <row r="37">
      <c r="A37" s="29">
        <f>Lists!$C$24</f>
        <v/>
      </c>
      <c r="B37" s="6">
        <f>COUNTIF(B6:EA6,$A37)</f>
        <v/>
      </c>
      <c r="C37" s="6">
        <f>COUNTIF(B7:EA7,$A37)</f>
        <v/>
      </c>
      <c r="D37" s="6">
        <f>COUNTIF(B8:EA8,$A37)</f>
        <v/>
      </c>
      <c r="E37" s="6">
        <f>COUNTIF(B9:EA9,$A37)</f>
        <v/>
      </c>
      <c r="F37" s="6">
        <f>COUNTIF(B10:EA10,$A37)</f>
        <v/>
      </c>
      <c r="G37" s="6">
        <f>SUM(B37:F37)</f>
        <v/>
      </c>
    </row>
    <row r="38">
      <c r="A38" s="30">
        <f>Lists!$C$25</f>
        <v/>
      </c>
      <c r="B38" s="6">
        <f>COUNTIF(B6:EA6,$A38)</f>
        <v/>
      </c>
      <c r="C38" s="6">
        <f>COUNTIF(B7:EA7,$A38)</f>
        <v/>
      </c>
      <c r="D38" s="6">
        <f>COUNTIF(B8:EA8,$A38)</f>
        <v/>
      </c>
      <c r="E38" s="6">
        <f>COUNTIF(B9:EA9,$A38)</f>
        <v/>
      </c>
      <c r="F38" s="6">
        <f>COUNTIF(B10:EA10,$A38)</f>
        <v/>
      </c>
      <c r="G38" s="6">
        <f>SUM(B38:F38)</f>
        <v/>
      </c>
    </row>
    <row r="39">
      <c r="A39" s="31">
        <f>Lists!$C$26</f>
        <v/>
      </c>
      <c r="B39" s="6">
        <f>COUNTIF(B6:EA6,$A39)</f>
        <v/>
      </c>
      <c r="C39" s="6">
        <f>COUNTIF(B7:EA7,$A39)</f>
        <v/>
      </c>
      <c r="D39" s="6">
        <f>COUNTIF(B8:EA8,$A39)</f>
        <v/>
      </c>
      <c r="E39" s="6">
        <f>COUNTIF(B9:EA9,$A39)</f>
        <v/>
      </c>
      <c r="F39" s="6">
        <f>COUNTIF(B10:EA10,$A39)</f>
        <v/>
      </c>
      <c r="G39" s="6">
        <f>SUM(B39:F39)</f>
        <v/>
      </c>
    </row>
    <row r="40">
      <c r="A40" s="54" t="inlineStr">
        <is>
          <t>Grand Total</t>
        </is>
      </c>
      <c r="B40" s="54">
        <f>SUM(B15:B39)</f>
        <v/>
      </c>
      <c r="C40" s="54">
        <f>SUM(C15:C39)</f>
        <v/>
      </c>
      <c r="D40" s="54">
        <f>SUM(D15:D39)</f>
        <v/>
      </c>
      <c r="E40" s="54">
        <f>SUM(E15:E39)</f>
        <v/>
      </c>
      <c r="F40" s="54">
        <f>SUM(F15:F39)</f>
        <v/>
      </c>
      <c r="G40" s="54">
        <f>SUM(G15:G39)</f>
        <v/>
      </c>
    </row>
  </sheetData>
  <mergeCells count="32">
    <mergeCell ref="B4:F4"/>
    <mergeCell ref="AP4:AT4"/>
    <mergeCell ref="BY4:CC4"/>
    <mergeCell ref="BO4:BS4"/>
    <mergeCell ref="BJ4:BN4"/>
    <mergeCell ref="AK4:AO4"/>
    <mergeCell ref="V4:Z4"/>
    <mergeCell ref="AU4:AY4"/>
    <mergeCell ref="AF4:AJ4"/>
    <mergeCell ref="DR3:EA3"/>
    <mergeCell ref="BE4:BI4"/>
    <mergeCell ref="DR4:DV4"/>
    <mergeCell ref="CN3:DQ3"/>
    <mergeCell ref="DM4:DQ4"/>
    <mergeCell ref="Q4:U4"/>
    <mergeCell ref="AA4:AE4"/>
    <mergeCell ref="A1:D1"/>
    <mergeCell ref="L4:P4"/>
    <mergeCell ref="AZ4:BD4"/>
    <mergeCell ref="BJ3:CM3"/>
    <mergeCell ref="CI4:CM4"/>
    <mergeCell ref="DW4:EA4"/>
    <mergeCell ref="DH4:DL4"/>
    <mergeCell ref="CS4:CW4"/>
    <mergeCell ref="G4:K4"/>
    <mergeCell ref="CD4:CH4"/>
    <mergeCell ref="BT4:BX4"/>
    <mergeCell ref="AF3:BI3"/>
    <mergeCell ref="DC4:DG4"/>
    <mergeCell ref="CN4:CR4"/>
    <mergeCell ref="B3:AE3"/>
    <mergeCell ref="CX4:DB4"/>
  </mergeCells>
  <conditionalFormatting sqref="B6:EA10">
    <cfRule type="expression" priority="1" dxfId="0">
      <formula>AND(B6&lt;&gt;"",B6=Lists!$C$2)</formula>
    </cfRule>
    <cfRule type="expression" priority="2" dxfId="1">
      <formula>AND(B6&lt;&gt;"",B6=Lists!$C$3)</formula>
    </cfRule>
    <cfRule type="expression" priority="3" dxfId="2">
      <formula>AND(B6&lt;&gt;"",B6=Lists!$C$4)</formula>
    </cfRule>
    <cfRule type="expression" priority="4" dxfId="3">
      <formula>AND(B6&lt;&gt;"",B6=Lists!$C$5)</formula>
    </cfRule>
    <cfRule type="expression" priority="5" dxfId="4">
      <formula>AND(B6&lt;&gt;"",B6=Lists!$C$6)</formula>
    </cfRule>
    <cfRule type="expression" priority="6" dxfId="5">
      <formula>AND(B6&lt;&gt;"",B6=Lists!$C$7)</formula>
    </cfRule>
    <cfRule type="expression" priority="7" dxfId="6">
      <formula>AND(B6&lt;&gt;"",B6=Lists!$C$8)</formula>
    </cfRule>
    <cfRule type="expression" priority="8" dxfId="7">
      <formula>AND(B6&lt;&gt;"",B6=Lists!$C$9)</formula>
    </cfRule>
    <cfRule type="expression" priority="9" dxfId="8">
      <formula>AND(B6&lt;&gt;"",B6=Lists!$C$10)</formula>
    </cfRule>
    <cfRule type="expression" priority="10" dxfId="9">
      <formula>AND(B6&lt;&gt;"",B6=Lists!$C$11)</formula>
    </cfRule>
    <cfRule type="expression" priority="11" dxfId="10">
      <formula>AND(B6&lt;&gt;"",B6=Lists!$C$12)</formula>
    </cfRule>
    <cfRule type="expression" priority="12" dxfId="11">
      <formula>AND(B6&lt;&gt;"",B6=Lists!$C$13)</formula>
    </cfRule>
    <cfRule type="expression" priority="13" dxfId="12">
      <formula>AND(B6&lt;&gt;"",B6=Lists!$C$14)</formula>
    </cfRule>
    <cfRule type="expression" priority="14" dxfId="13">
      <formula>AND(B6&lt;&gt;"",B6=Lists!$C$15)</formula>
    </cfRule>
    <cfRule type="expression" priority="15" dxfId="14">
      <formula>AND(B6&lt;&gt;"",B6=Lists!$C$16)</formula>
    </cfRule>
    <cfRule type="expression" priority="16" dxfId="15">
      <formula>AND(B6&lt;&gt;"",B6=Lists!$C$17)</formula>
    </cfRule>
    <cfRule type="expression" priority="17" dxfId="16">
      <formula>AND(B6&lt;&gt;"",B6=Lists!$C$18)</formula>
    </cfRule>
    <cfRule type="expression" priority="18" dxfId="17">
      <formula>AND(B6&lt;&gt;"",B6=Lists!$C$19)</formula>
    </cfRule>
    <cfRule type="expression" priority="19" dxfId="18">
      <formula>AND(B6&lt;&gt;"",B6=Lists!$C$20)</formula>
    </cfRule>
    <cfRule type="expression" priority="20" dxfId="19">
      <formula>AND(B6&lt;&gt;"",B6=Lists!$C$21)</formula>
    </cfRule>
    <cfRule type="expression" priority="21" dxfId="20">
      <formula>AND(B6&lt;&gt;"",B6=Lists!$C$22)</formula>
    </cfRule>
    <cfRule type="expression" priority="22" dxfId="21">
      <formula>AND(B6&lt;&gt;"",B6=Lists!$C$23)</formula>
    </cfRule>
    <cfRule type="expression" priority="23" dxfId="22">
      <formula>AND(B6&lt;&gt;"",B6=Lists!$C$24)</formula>
    </cfRule>
    <cfRule type="expression" priority="24" dxfId="23">
      <formula>AND(B6&lt;&gt;"",B6=Lists!$C$25)</formula>
    </cfRule>
    <cfRule type="expression" priority="25" dxfId="24">
      <formula>AND(B6&lt;&gt;"",B6=Lists!$C$26)</formula>
    </cfRule>
  </conditionalFormatting>
  <dataValidations count="1">
    <dataValidation sqref="B6:EA10" showDropDown="0" showInputMessage="0" showErrorMessage="0" allowBlank="1" errorTitle="Invalid project" error="Pick a project from the list (add new ones on the Lists tab)." type="list">
      <formula1>=ProjectList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2026-07-06T10:15:42Z</dcterms:created>
  <dcterms:modified xsi:type="dcterms:W3CDTF">2026-07-06T10:15:42Z</dcterms:modified>
</cp:coreProperties>
</file>