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14">
    <font>
      <name val="Calibri"/>
      <family val="2"/>
      <color theme="1"/>
      <sz val="11"/>
      <scheme val="minor"/>
    </font>
    <font>
      <name val="Calibri"/>
      <b val="1"/>
      <color rgb="005B6472"/>
      <sz val="8.5"/>
    </font>
    <font>
      <name val="Calibri"/>
      <b val="1"/>
      <color rgb="001B2A4A"/>
      <sz val="26"/>
    </font>
    <font>
      <name val="Calibri"/>
      <b val="1"/>
      <color rgb="002E6FA3"/>
      <sz val="26"/>
    </font>
    <font>
      <name val="Calibri"/>
      <b val="1"/>
      <color rgb="0094A3B8"/>
      <sz val="26"/>
    </font>
    <font>
      <name val="Calibri"/>
      <b val="1"/>
      <color rgb="00D6483F"/>
      <sz val="26"/>
    </font>
    <font>
      <name val="Calibri"/>
      <b val="1"/>
      <color rgb="002E9E6D"/>
      <sz val="26"/>
    </font>
    <font>
      <name val="Calibri"/>
      <b val="1"/>
      <color rgb="00E8792E"/>
      <sz val="12"/>
    </font>
    <font>
      <name val="Calibri"/>
      <i val="1"/>
      <color rgb="005B6472"/>
      <sz val="9"/>
    </font>
    <font>
      <name val="Calibri"/>
      <b val="1"/>
      <color rgb="00FFFFFF"/>
      <sz val="10"/>
    </font>
    <font>
      <name val="Calibri"/>
      <color rgb="001A2233"/>
      <sz val="10"/>
    </font>
    <font>
      <name val="Calibri"/>
      <b val="1"/>
      <color rgb="001A2233"/>
      <sz val="10"/>
    </font>
    <font>
      <name val="Calibri"/>
      <b val="1"/>
      <color rgb="001A2233"/>
      <sz val="12"/>
    </font>
    <font>
      <name val="Calibri"/>
      <b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8792E"/>
      </patternFill>
    </fill>
    <fill>
      <patternFill patternType="solid">
        <fgColor rgb="00FFFFFF"/>
      </patternFill>
    </fill>
    <fill>
      <patternFill patternType="solid">
        <fgColor rgb="0094A3B8"/>
      </patternFill>
    </fill>
    <fill>
      <patternFill patternType="solid">
        <fgColor rgb="00F4F6F9"/>
      </patternFill>
    </fill>
    <fill>
      <patternFill patternType="solid">
        <fgColor rgb="002E6FA3"/>
      </patternFill>
    </fill>
    <fill>
      <patternFill patternType="solid">
        <fgColor rgb="00E8A93A"/>
      </patternFill>
    </fill>
    <fill>
      <patternFill patternType="solid">
        <fgColor rgb="00D6483F"/>
      </patternFill>
    </fill>
    <fill>
      <patternFill patternType="solid">
        <fgColor rgb="002E9E6D"/>
      </patternFill>
    </fill>
  </fills>
  <borders count="14">
    <border>
      <left/>
      <right/>
      <top/>
      <bottom/>
      <diagonal/>
    </border>
    <border>
      <left style="thin">
        <color rgb="00D7DCE3"/>
      </left>
      <top style="thick">
        <color rgb="001B2A4A"/>
      </top>
    </border>
    <border>
      <right style="thin">
        <color rgb="00D7DCE3"/>
      </right>
      <top style="thick">
        <color rgb="001B2A4A"/>
      </top>
    </border>
    <border>
      <left style="thin">
        <color rgb="00D7DCE3"/>
      </left>
      <bottom style="thin">
        <color rgb="00D7DCE3"/>
      </bottom>
    </border>
    <border>
      <right style="thin">
        <color rgb="00D7DCE3"/>
      </right>
      <bottom style="thin">
        <color rgb="00D7DCE3"/>
      </bottom>
    </border>
    <border>
      <left style="thin">
        <color rgb="00D7DCE3"/>
      </left>
      <top style="thick">
        <color rgb="002E6FA3"/>
      </top>
    </border>
    <border>
      <right style="thin">
        <color rgb="00D7DCE3"/>
      </right>
      <top style="thick">
        <color rgb="002E6FA3"/>
      </top>
    </border>
    <border>
      <left style="thin">
        <color rgb="00D7DCE3"/>
      </left>
      <top style="thick">
        <color rgb="0094A3B8"/>
      </top>
    </border>
    <border>
      <right style="thin">
        <color rgb="00D7DCE3"/>
      </right>
      <top style="thick">
        <color rgb="0094A3B8"/>
      </top>
    </border>
    <border>
      <left style="thin">
        <color rgb="00D7DCE3"/>
      </left>
      <top style="thick">
        <color rgb="00D6483F"/>
      </top>
    </border>
    <border>
      <right style="thin">
        <color rgb="00D7DCE3"/>
      </right>
      <top style="thick">
        <color rgb="00D6483F"/>
      </top>
    </border>
    <border>
      <left style="thin">
        <color rgb="00D7DCE3"/>
      </left>
      <top style="thick">
        <color rgb="002E9E6D"/>
      </top>
    </border>
    <border>
      <right style="thin">
        <color rgb="00D7DCE3"/>
      </right>
      <top style="thick">
        <color rgb="002E9E6D"/>
      </top>
    </border>
    <border>
      <left style="thin">
        <color rgb="00D7DCE3"/>
      </left>
      <right style="thin">
        <color rgb="00D7DCE3"/>
      </right>
      <top style="thin">
        <color rgb="00D7DCE3"/>
      </top>
      <bottom style="thin">
        <color rgb="00D7DCE3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2" borderId="0" applyAlignment="1" pivotButton="0" quotePrefix="0" xfId="0">
      <alignment horizontal="left" vertical="center" indent="2"/>
    </xf>
    <xf numFmtId="0" fontId="0" fillId="2" borderId="0" pivotButton="0" quotePrefix="0" xfId="0"/>
    <xf numFmtId="0" fontId="0" fillId="3" borderId="0" pivotButton="0" quotePrefix="0" xfId="0"/>
    <xf numFmtId="0" fontId="1" fillId="4" borderId="1" applyAlignment="1" pivotButton="0" quotePrefix="0" xfId="0">
      <alignment horizontal="left" vertical="center" indent="1"/>
    </xf>
    <xf numFmtId="0" fontId="0" fillId="4" borderId="2" pivotButton="0" quotePrefix="0" xfId="0"/>
    <xf numFmtId="0" fontId="1" fillId="4" borderId="5" applyAlignment="1" pivotButton="0" quotePrefix="0" xfId="0">
      <alignment horizontal="left" vertical="center" indent="1"/>
    </xf>
    <xf numFmtId="0" fontId="0" fillId="4" borderId="6" pivotButton="0" quotePrefix="0" xfId="0"/>
    <xf numFmtId="0" fontId="1" fillId="4" borderId="7" applyAlignment="1" pivotButton="0" quotePrefix="0" xfId="0">
      <alignment horizontal="left" vertical="center" indent="1"/>
    </xf>
    <xf numFmtId="0" fontId="0" fillId="4" borderId="8" pivotButton="0" quotePrefix="0" xfId="0"/>
    <xf numFmtId="0" fontId="1" fillId="4" borderId="9" applyAlignment="1" pivotButton="0" quotePrefix="0" xfId="0">
      <alignment horizontal="left" vertical="center" indent="1"/>
    </xf>
    <xf numFmtId="0" fontId="0" fillId="4" borderId="10" pivotButton="0" quotePrefix="0" xfId="0"/>
    <xf numFmtId="0" fontId="1" fillId="4" borderId="11" applyAlignment="1" pivotButton="0" quotePrefix="0" xfId="0">
      <alignment horizontal="left" vertical="center" indent="1"/>
    </xf>
    <xf numFmtId="0" fontId="0" fillId="4" borderId="12" pivotButton="0" quotePrefix="0" xfId="0"/>
    <xf numFmtId="1" fontId="2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1" fontId="3" fillId="4" borderId="0" applyAlignment="1" pivotButton="0" quotePrefix="0" xfId="0">
      <alignment horizontal="left" vertical="center" indent="1"/>
    </xf>
    <xf numFmtId="1" fontId="4" fillId="4" borderId="0" applyAlignment="1" pivotButton="0" quotePrefix="0" xfId="0">
      <alignment horizontal="left" vertical="center" indent="1"/>
    </xf>
    <xf numFmtId="1" fontId="5" fillId="4" borderId="0" applyAlignment="1" pivotButton="0" quotePrefix="0" xfId="0">
      <alignment horizontal="left" vertical="center" indent="1"/>
    </xf>
    <xf numFmtId="9" fontId="6" fillId="4" borderId="0" applyAlignment="1" pivotButton="0" quotePrefix="0" xfId="0">
      <alignment horizontal="left" vertical="center" indent="1"/>
    </xf>
    <xf numFmtId="0" fontId="0" fillId="4" borderId="3" pivotButton="0" quotePrefix="0" xfId="0"/>
    <xf numFmtId="0" fontId="0" fillId="4" borderId="4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3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center" vertical="center"/>
    </xf>
    <xf numFmtId="0" fontId="10" fillId="0" borderId="13" applyAlignment="1" pivotButton="0" quotePrefix="0" xfId="0">
      <alignment horizontal="left" vertical="center"/>
    </xf>
    <xf numFmtId="9" fontId="10" fillId="0" borderId="13" applyAlignment="1" pivotButton="0" quotePrefix="0" xfId="0">
      <alignment horizontal="center" vertical="center"/>
    </xf>
    <xf numFmtId="165" fontId="10" fillId="0" borderId="13" applyAlignment="1" pivotButton="0" quotePrefix="0" xfId="0">
      <alignment horizontal="center" vertical="center"/>
    </xf>
    <xf numFmtId="0" fontId="10" fillId="0" borderId="13" applyAlignment="1" pivotButton="0" quotePrefix="0" xfId="0">
      <alignment horizontal="left" vertical="center" wrapText="1"/>
    </xf>
    <xf numFmtId="0" fontId="9" fillId="5" borderId="13" applyAlignment="1" pivotButton="0" quotePrefix="0" xfId="0">
      <alignment horizontal="center" vertical="center" wrapText="1"/>
    </xf>
    <xf numFmtId="0" fontId="11" fillId="4" borderId="13" applyAlignment="1" pivotButton="0" quotePrefix="0" xfId="0">
      <alignment horizontal="left" vertical="center"/>
    </xf>
    <xf numFmtId="0" fontId="10" fillId="4" borderId="13" applyAlignment="1" pivotButton="0" quotePrefix="0" xfId="0">
      <alignment horizontal="center" vertical="center"/>
    </xf>
    <xf numFmtId="0" fontId="12" fillId="4" borderId="13" applyAlignment="1" pivotButton="0" quotePrefix="0" xfId="0">
      <alignment horizontal="center" vertical="center"/>
    </xf>
    <xf numFmtId="0" fontId="11" fillId="6" borderId="13" applyAlignment="1" pivotButton="0" quotePrefix="0" xfId="0">
      <alignment horizontal="left" vertical="center"/>
    </xf>
    <xf numFmtId="0" fontId="10" fillId="6" borderId="13" applyAlignment="1" pivotButton="0" quotePrefix="0" xfId="0">
      <alignment horizontal="center" vertical="center"/>
    </xf>
    <xf numFmtId="0" fontId="12" fillId="6" borderId="13" applyAlignment="1" pivotButton="0" quotePrefix="0" xfId="0">
      <alignment horizontal="center" vertical="center"/>
    </xf>
    <xf numFmtId="0" fontId="11" fillId="0" borderId="0" pivotButton="0" quotePrefix="0" xfId="0"/>
    <xf numFmtId="0" fontId="13" fillId="5" borderId="0" applyAlignment="1" pivotButton="0" quotePrefix="0" xfId="0">
      <alignment horizontal="left" vertical="center"/>
    </xf>
    <xf numFmtId="0" fontId="13" fillId="7" borderId="0" applyAlignment="1" pivotButton="0" quotePrefix="0" xfId="0">
      <alignment horizontal="left" vertical="center"/>
    </xf>
    <xf numFmtId="0" fontId="13" fillId="8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left" vertical="center"/>
    </xf>
  </cellXfs>
  <cellStyles count="1">
    <cellStyle name="Normal" xfId="0" builtinId="0" hidden="0"/>
  </cellStyles>
  <dxfs count="10">
    <dxf>
      <font>
        <name val="Calibri"/>
        <b val="1"/>
        <color rgb="00FFFFFF"/>
        <sz val="10"/>
      </font>
      <fill>
        <patternFill patternType="solid">
          <fgColor rgb="0094A3B8"/>
        </patternFill>
      </fill>
    </dxf>
    <dxf>
      <font>
        <name val="Calibri"/>
        <b val="1"/>
        <color rgb="00FFFFFF"/>
        <sz val="10"/>
      </font>
      <fill>
        <patternFill patternType="solid">
          <fgColor rgb="002E6FA3"/>
        </patternFill>
      </fill>
    </dxf>
    <dxf>
      <font>
        <name val="Calibri"/>
        <b val="1"/>
        <color rgb="00FFFFFF"/>
        <sz val="10"/>
      </font>
      <fill>
        <patternFill patternType="solid">
          <fgColor rgb="00E8A93A"/>
        </patternFill>
      </fill>
    </dxf>
    <dxf>
      <font>
        <name val="Calibri"/>
        <b val="1"/>
        <color rgb="00FFFFFF"/>
        <sz val="10"/>
      </font>
      <fill>
        <patternFill patternType="solid">
          <fgColor rgb="00D6483F"/>
        </patternFill>
      </fill>
    </dxf>
    <dxf>
      <font>
        <name val="Calibri"/>
        <b val="1"/>
        <color rgb="00FFFFFF"/>
        <sz val="10"/>
      </font>
      <fill>
        <patternFill patternType="solid">
          <fgColor rgb="002E9E6D"/>
        </patternFill>
      </fill>
    </dxf>
    <dxf>
      <font>
        <name val="Calibri"/>
        <b val="1"/>
        <color rgb="00FFFFFF"/>
        <sz val="12"/>
      </font>
      <fill>
        <patternFill patternType="solid">
          <fgColor rgb="0094A3B8"/>
        </patternFill>
      </fill>
    </dxf>
    <dxf>
      <font>
        <name val="Calibri"/>
        <b val="1"/>
        <color rgb="00FFFFFF"/>
        <sz val="12"/>
      </font>
      <fill>
        <patternFill patternType="solid">
          <fgColor rgb="002E6FA3"/>
        </patternFill>
      </fill>
    </dxf>
    <dxf>
      <font>
        <name val="Calibri"/>
        <b val="1"/>
        <color rgb="00FFFFFF"/>
        <sz val="12"/>
      </font>
      <fill>
        <patternFill patternType="solid">
          <fgColor rgb="00E8A93A"/>
        </patternFill>
      </fill>
    </dxf>
    <dxf>
      <font>
        <name val="Calibri"/>
        <b val="1"/>
        <color rgb="00FFFFFF"/>
        <sz val="12"/>
      </font>
      <fill>
        <patternFill patternType="solid">
          <fgColor rgb="00D6483F"/>
        </patternFill>
      </fill>
    </dxf>
    <dxf>
      <font>
        <name val="Calibri"/>
        <b val="1"/>
        <color rgb="00FFFFFF"/>
        <sz val="12"/>
      </font>
      <fill>
        <patternFill patternType="solid">
          <fgColor rgb="002E9E6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Contracts by DTW Stage (incl. Stage 0 — Not Yet Started)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2E6FA3"/>
            </a:solidFill>
            <a:ln>
              <a:prstDash val="solid"/>
            </a:ln>
          </spPr>
          <dLbls>
            <showVal val="1"/>
          </dLbls>
          <cat>
            <numRef>
              <f>'Executive Dashboard'!$S$2:$S$13</f>
            </numRef>
          </cat>
          <val>
            <numRef>
              <f>'Executive Dashboard'!$U$2:$U$13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Status Breakdown — All Contracts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94A3B8"/>
              </a:solidFill>
              <a:ln>
                <a:prstDash val="solid"/>
              </a:ln>
            </spPr>
          </dPt>
          <dPt>
            <idx val="1"/>
            <spPr>
              <a:solidFill>
                <a:srgbClr val="2E6FA3"/>
              </a:solidFill>
              <a:ln>
                <a:prstDash val="solid"/>
              </a:ln>
            </spPr>
          </dPt>
          <dPt>
            <idx val="2"/>
            <spPr>
              <a:solidFill>
                <a:srgbClr val="E8A93A"/>
              </a:solidFill>
              <a:ln>
                <a:prstDash val="solid"/>
              </a:ln>
            </spPr>
          </dPt>
          <dPt>
            <idx val="3"/>
            <spPr>
              <a:solidFill>
                <a:srgbClr val="D6483F"/>
              </a:solidFill>
              <a:ln>
                <a:prstDash val="solid"/>
              </a:ln>
            </spPr>
          </dPt>
          <dPt>
            <idx val="4"/>
            <spPr>
              <a:solidFill>
                <a:srgbClr val="2E9E6D"/>
              </a:solidFill>
              <a:ln>
                <a:prstDash val="solid"/>
              </a:ln>
            </spPr>
          </dPt>
          <cat>
            <numRef>
              <f>'Executive Dashboard'!$X$2:$X$6</f>
            </numRef>
          </cat>
          <val>
            <numRef>
              <f>'Executive Dashboard'!$Y$2:$Y$6</f>
            </numRef>
          </val>
        </ser>
        <dLbls>
          <showVal val="1"/>
        </dLbls>
        <firstSliceAng val="0"/>
        <holeSize val="60"/>
      </doughnut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Metrolink DTW</author>
  </authors>
  <commentList>
    <comment ref="D58" authorId="0" shapeId="0">
      <text>
        <t>Stage 0: Not Yet Started
(Not Started)</t>
      </text>
    </comment>
    <comment ref="E58" authorId="0" shapeId="0">
      <text>
        <t>Stage 1: Pre-IDC Pack Issued
(Design Development → Tender)</t>
      </text>
    </comment>
    <comment ref="F58" authorId="0" shapeId="0">
      <text>
        <t>Stage 2: IDC (Inter-Disciplinary Check)
(Design Development → Tender)</t>
      </text>
    </comment>
    <comment ref="G58" authorId="0" shapeId="0">
      <text>
        <t>Stage 3: Full ITT Pack Issued – Rev 01
(Design Development → Tender)</t>
      </text>
    </comment>
    <comment ref="H58" authorId="0" shapeId="0">
      <text>
        <t>Stage 4: TII Instruction to Issue C01
(Design Development → Tender)</t>
      </text>
    </comment>
    <comment ref="I58" authorId="0" shapeId="0">
      <text>
        <t>Stage 5: AWDS C01 Submission
(Design Development → Tender)</t>
      </text>
    </comment>
    <comment ref="J58" authorId="0" shapeId="0">
      <text>
        <t>Stage 6: Ready for Tender
(Design Development → Tender)</t>
      </text>
    </comment>
    <comment ref="K58" authorId="0" shapeId="0">
      <text>
        <t>Stage 7: ITT Issue Date
(Design Development → Tender)</t>
      </text>
    </comment>
    <comment ref="L58" authorId="0" shapeId="0">
      <text>
        <t>Stage 8: Tender Period
(Procurement &amp; Award)</t>
      </text>
    </comment>
    <comment ref="M58" authorId="0" shapeId="0">
      <text>
        <t>Stage 9: ITT Award
(Procurement &amp; Award)</t>
      </text>
    </comment>
    <comment ref="N58" authorId="0" shapeId="0">
      <text>
        <t>Stage 10: Contract Award
(Procurement &amp; Award)</t>
      </text>
    </comment>
    <comment ref="O58" authorId="0" shapeId="0">
      <text>
        <t>Stage 11: Construction Start
(Procurement &amp; Award)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12</row>
      <rowOff>0</rowOff>
    </from>
    <ext cx="6840000" cy="37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12</row>
      <rowOff>0</rowOff>
    </from>
    <ext cx="4320000" cy="37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Contracts" displayName="tblContracts" ref="B37:J53" headerRowCount="1">
  <autoFilter ref="B37:J53"/>
  <tableColumns count="9">
    <tableColumn id="2" name="Group"/>
    <tableColumn id="3" name="Contract"/>
    <tableColumn id="4" name="Stage No."/>
    <tableColumn id="5" name="DTW Stage"/>
    <tableColumn id="6" name="Phase"/>
    <tableColumn id="7" name="Status"/>
    <tableColumn id="8" name="Progress"/>
    <tableColumn id="9" name="Last Updated"/>
    <tableColumn id="10" name="Notes"/>
  </tableColumns>
  <tableStyleInfo name="TableStyleMedium2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Y79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3" customWidth="1" min="2" max="2"/>
    <col width="1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3" customWidth="1" min="16" max="16"/>
    <col width="3" customWidth="1" min="17" max="17"/>
    <col hidden="1" outlineLevel="1" width="16" customWidth="1" min="18" max="18"/>
    <col hidden="1" outlineLevel="1" width="16" customWidth="1" min="19" max="19"/>
    <col hidden="1" outlineLevel="1" width="16" customWidth="1" min="20" max="20"/>
    <col hidden="1" outlineLevel="1" width="16" customWidth="1" min="21" max="21"/>
    <col hidden="1" outlineLevel="1" width="16" customWidth="1" min="22" max="22"/>
    <col hidden="1" outlineLevel="1" width="16" customWidth="1" min="23" max="23"/>
    <col hidden="1" outlineLevel="1" width="16" customWidth="1" min="24" max="24"/>
    <col hidden="1" outlineLevel="1" width="16" customWidth="1" min="25" max="25"/>
  </cols>
  <sheetData>
    <row r="1">
      <c r="R1" t="inlineStr">
        <is>
          <t>StageNo</t>
        </is>
      </c>
      <c r="S1" t="inlineStr">
        <is>
          <t>StageName</t>
        </is>
      </c>
      <c r="T1" t="inlineStr">
        <is>
          <t>Phase</t>
        </is>
      </c>
      <c r="U1" t="inlineStr">
        <is>
          <t>StageCount</t>
        </is>
      </c>
      <c r="X1" t="inlineStr">
        <is>
          <t>Status</t>
        </is>
      </c>
      <c r="Y1" t="inlineStr">
        <is>
          <t>StatusCount</t>
        </is>
      </c>
    </row>
    <row r="2" ht="30" customHeight="1">
      <c r="B2" s="1" t="inlineStr">
        <is>
          <r>
            <rPr>
              <rFont val="Calibri"/>
              <b val="1"/>
              <color rgb="00D62B1F"/>
              <sz val="2400"/>
            </rPr>
            <t>METRO</t>
          </r>
          <r>
            <rPr>
              <rFont val="Calibri"/>
              <b val="1"/>
              <color rgb="00FFFFFF"/>
              <sz val="2400"/>
            </rPr>
            <t>LINK</t>
          </r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R2" t="n">
        <v>0</v>
      </c>
      <c r="S2" t="inlineStr">
        <is>
          <t>Not Yet Started</t>
        </is>
      </c>
      <c r="T2" t="inlineStr">
        <is>
          <t>Not Started</t>
        </is>
      </c>
      <c r="U2">
        <f>COUNTIF(tblContracts[Stage No.],R2)</f>
        <v/>
      </c>
      <c r="X2" t="inlineStr">
        <is>
          <t>Not Started</t>
        </is>
      </c>
      <c r="Y2">
        <f>COUNTIF(tblContracts[Status],X2)</f>
        <v/>
      </c>
    </row>
    <row r="3" ht="12" customHeight="1"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R3" t="n">
        <v>1</v>
      </c>
      <c r="S3" t="inlineStr">
        <is>
          <t>Pre-IDC Pack Issued</t>
        </is>
      </c>
      <c r="T3" t="inlineStr">
        <is>
          <t>Design Development → Tender</t>
        </is>
      </c>
      <c r="U3">
        <f>COUNTIF(tblContracts[Stage No.],R3)</f>
        <v/>
      </c>
      <c r="X3" t="inlineStr">
        <is>
          <t>In Progress</t>
        </is>
      </c>
      <c r="Y3">
        <f>COUNTIF(tblContracts[Status],X3)</f>
        <v/>
      </c>
    </row>
    <row r="4" ht="24" customHeight="1">
      <c r="B4" s="1" t="inlineStr">
        <is>
          <r>
            <rPr>
              <rFont val="Calibri"/>
              <b val="1"/>
              <color rgb="00FFFFFF"/>
              <sz val="1400"/>
            </rPr>
            <t xml:space="preserve">Design-to-Tender Workflow  —  Pack Status Summary   </t>
          </r>
          <r>
            <rPr>
              <rFont val="Calibri"/>
              <i val="1"/>
              <color rgb="00E8792E"/>
              <sz val="1200"/>
            </rPr>
            <t>(02 July 2026)</t>
          </r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R4" t="n">
        <v>2</v>
      </c>
      <c r="S4" t="inlineStr">
        <is>
          <t>IDC (Inter-Disciplinary Check)</t>
        </is>
      </c>
      <c r="T4" t="inlineStr">
        <is>
          <t>Design Development → Tender</t>
        </is>
      </c>
      <c r="U4">
        <f>COUNTIF(tblContracts[Stage No.],R4)</f>
        <v/>
      </c>
      <c r="X4" t="inlineStr">
        <is>
          <t>At Risk</t>
        </is>
      </c>
      <c r="Y4">
        <f>COUNTIF(tblContracts[Status],X4)</f>
        <v/>
      </c>
    </row>
    <row r="5" ht="10" customHeight="1"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R5" t="n">
        <v>3</v>
      </c>
      <c r="S5" t="inlineStr">
        <is>
          <t>Full ITT Pack Issued – Rev 01</t>
        </is>
      </c>
      <c r="T5" t="inlineStr">
        <is>
          <t>Design Development → Tender</t>
        </is>
      </c>
      <c r="U5">
        <f>COUNTIF(tblContracts[Stage No.],R5)</f>
        <v/>
      </c>
      <c r="X5" t="inlineStr">
        <is>
          <t>Delayed</t>
        </is>
      </c>
      <c r="Y5">
        <f>COUNTIF(tblContracts[Status],X5)</f>
        <v/>
      </c>
    </row>
    <row r="6" ht="5" customHeight="1">
      <c r="B6" s="3" t="n"/>
      <c r="R6" t="n">
        <v>4</v>
      </c>
      <c r="S6" t="inlineStr">
        <is>
          <t>TII Instruction to Issue C01</t>
        </is>
      </c>
      <c r="T6" t="inlineStr">
        <is>
          <t>Design Development → Tender</t>
        </is>
      </c>
      <c r="U6">
        <f>COUNTIF(tblContracts[Stage No.],R6)</f>
        <v/>
      </c>
      <c r="X6" t="inlineStr">
        <is>
          <t>Complete</t>
        </is>
      </c>
      <c r="Y6">
        <f>COUNTIF(tblContracts[Status],X6)</f>
        <v/>
      </c>
    </row>
    <row r="7" ht="6" customHeight="1">
      <c r="R7" t="n">
        <v>5</v>
      </c>
      <c r="S7" t="inlineStr">
        <is>
          <t>AWDS C01 Submission</t>
        </is>
      </c>
      <c r="T7" t="inlineStr">
        <is>
          <t>Design Development → Tender</t>
        </is>
      </c>
      <c r="U7">
        <f>COUNTIF(tblContracts[Stage No.],R7)</f>
        <v/>
      </c>
    </row>
    <row r="8" ht="16" customHeight="1">
      <c r="B8" s="4" t="inlineStr">
        <is>
          <t>TOTAL CONTRACTS TRACKED</t>
        </is>
      </c>
      <c r="C8" s="5" t="n"/>
      <c r="D8" s="6" t="inlineStr">
        <is>
          <t>DESIGN DEVELOPMENT → TENDER</t>
        </is>
      </c>
      <c r="E8" s="7" t="n"/>
      <c r="F8" s="6" t="inlineStr">
        <is>
          <t>PROCUREMENT &amp; AWARD</t>
        </is>
      </c>
      <c r="G8" s="7" t="n"/>
      <c r="H8" s="8" t="inlineStr">
        <is>
          <t>NOT YET STARTED</t>
        </is>
      </c>
      <c r="I8" s="9" t="n"/>
      <c r="J8" s="10" t="inlineStr">
        <is>
          <t>NEEDS ATTENTION</t>
        </is>
      </c>
      <c r="K8" s="11" t="n"/>
      <c r="L8" s="12" t="inlineStr">
        <is>
          <t>AVG. PIPELINE PROGRESS</t>
        </is>
      </c>
      <c r="M8" s="13" t="n"/>
      <c r="R8" t="n">
        <v>6</v>
      </c>
      <c r="S8" t="inlineStr">
        <is>
          <t>Ready for Tender</t>
        </is>
      </c>
      <c r="T8" t="inlineStr">
        <is>
          <t>Design Development → Tender</t>
        </is>
      </c>
      <c r="U8">
        <f>COUNTIF(tblContracts[Stage No.],R8)</f>
        <v/>
      </c>
    </row>
    <row r="9" ht="22" customHeight="1">
      <c r="B9" s="14">
        <f>COUNTA(tblContracts[Contract])</f>
        <v/>
      </c>
      <c r="C9" s="15" t="n"/>
      <c r="D9" s="16">
        <f>COUNTIFS(tblContracts[Stage No.],"&gt;=1",tblContracts[Stage No.],"&lt;=7")</f>
        <v/>
      </c>
      <c r="E9" s="15" t="n"/>
      <c r="F9" s="16">
        <f>COUNTIFS(tblContracts[Stage No.],"&gt;=8",tblContracts[Stage No.],"&lt;=11")</f>
        <v/>
      </c>
      <c r="G9" s="15" t="n"/>
      <c r="H9" s="17">
        <f>COUNTIF(tblContracts[Stage No.],0)</f>
        <v/>
      </c>
      <c r="I9" s="15" t="n"/>
      <c r="J9" s="18">
        <f>COUNTIF(tblContracts[Status],"At Risk")+COUNTIF(tblContracts[Status],"Delayed")</f>
        <v/>
      </c>
      <c r="K9" s="15" t="n"/>
      <c r="L9" s="19">
        <f>AVERAGE(tblContracts[Progress])</f>
        <v/>
      </c>
      <c r="M9" s="15" t="n"/>
      <c r="R9" t="n">
        <v>7</v>
      </c>
      <c r="S9" t="inlineStr">
        <is>
          <t>ITT Issue Date</t>
        </is>
      </c>
      <c r="T9" t="inlineStr">
        <is>
          <t>Design Development → Tender</t>
        </is>
      </c>
      <c r="U9">
        <f>COUNTIF(tblContracts[Stage No.],R9)</f>
        <v/>
      </c>
    </row>
    <row r="10" ht="22" customHeight="1">
      <c r="B10" s="20" t="n"/>
      <c r="C10" s="21" t="n"/>
      <c r="D10" s="20" t="n"/>
      <c r="E10" s="21" t="n"/>
      <c r="F10" s="20" t="n"/>
      <c r="G10" s="21" t="n"/>
      <c r="H10" s="20" t="n"/>
      <c r="I10" s="21" t="n"/>
      <c r="J10" s="20" t="n"/>
      <c r="K10" s="21" t="n"/>
      <c r="L10" s="20" t="n"/>
      <c r="M10" s="21" t="n"/>
      <c r="R10" t="n">
        <v>8</v>
      </c>
      <c r="S10" t="inlineStr">
        <is>
          <t>Tender Period</t>
        </is>
      </c>
      <c r="T10" t="inlineStr">
        <is>
          <t>Procurement &amp; Award</t>
        </is>
      </c>
      <c r="U10">
        <f>COUNTIF(tblContracts[Stage No.],R10)</f>
        <v/>
      </c>
    </row>
    <row r="11" ht="10" customHeight="1">
      <c r="R11" t="n">
        <v>9</v>
      </c>
      <c r="S11" t="inlineStr">
        <is>
          <t>ITT Award</t>
        </is>
      </c>
      <c r="T11" t="inlineStr">
        <is>
          <t>Procurement &amp; Award</t>
        </is>
      </c>
      <c r="U11">
        <f>COUNTIF(tblContracts[Stage No.],R11)</f>
        <v/>
      </c>
    </row>
    <row r="12">
      <c r="R12" t="n">
        <v>10</v>
      </c>
      <c r="S12" t="inlineStr">
        <is>
          <t>Contract Award</t>
        </is>
      </c>
      <c r="T12" t="inlineStr">
        <is>
          <t>Procurement &amp; Award</t>
        </is>
      </c>
      <c r="U12">
        <f>COUNTIF(tblContracts[Stage No.],R12)</f>
        <v/>
      </c>
    </row>
    <row r="13">
      <c r="R13" t="n">
        <v>11</v>
      </c>
      <c r="S13" t="inlineStr">
        <is>
          <t>Construction Start</t>
        </is>
      </c>
      <c r="T13" t="inlineStr">
        <is>
          <t>Procurement &amp; Award</t>
        </is>
      </c>
      <c r="U13">
        <f>COUNTIF(tblContracts[Stage No.],R13)</f>
        <v/>
      </c>
    </row>
    <row r="35">
      <c r="B35" s="22" t="inlineStr">
        <is>
          <t>Contract Tracker — All Contracts</t>
        </is>
      </c>
    </row>
    <row r="36">
      <c r="B36" s="23" t="inlineStr">
        <is>
          <t>Select a Stage No. and Status for every contract, DTW and Framework alike — the dashboard above updates automatically.</t>
        </is>
      </c>
    </row>
    <row r="37">
      <c r="B37" s="24" t="inlineStr">
        <is>
          <t>Group</t>
        </is>
      </c>
      <c r="C37" s="24" t="inlineStr">
        <is>
          <t>Contract</t>
        </is>
      </c>
      <c r="D37" s="24" t="inlineStr">
        <is>
          <t>Stage No.</t>
        </is>
      </c>
      <c r="E37" s="24" t="inlineStr">
        <is>
          <t>DTW Stage</t>
        </is>
      </c>
      <c r="F37" s="24" t="inlineStr">
        <is>
          <t>Phase</t>
        </is>
      </c>
      <c r="G37" s="24" t="inlineStr">
        <is>
          <t>Status</t>
        </is>
      </c>
      <c r="H37" s="24" t="inlineStr">
        <is>
          <t>Progress</t>
        </is>
      </c>
      <c r="I37" s="24" t="inlineStr">
        <is>
          <t>Last Updated</t>
        </is>
      </c>
      <c r="J37" s="24" t="inlineStr">
        <is>
          <t>Notes</t>
        </is>
      </c>
    </row>
    <row r="38">
      <c r="B38" s="25" t="inlineStr">
        <is>
          <t>M14</t>
        </is>
      </c>
      <c r="C38" s="25" t="inlineStr">
        <is>
          <t>M140</t>
        </is>
      </c>
      <c r="D38" s="25" t="n">
        <v>5</v>
      </c>
      <c r="E38" s="26">
        <f>IFERROR(VLOOKUP($D38,$R$2:$T$13,2,FALSE),"—")</f>
        <v/>
      </c>
      <c r="F38" s="26">
        <f>IFERROR(VLOOKUP($D38,$R$2:$T$13,3,FALSE),"—")</f>
        <v/>
      </c>
      <c r="G38" s="26" t="inlineStr">
        <is>
          <t>In Progress</t>
        </is>
      </c>
      <c r="H38" s="27">
        <f>$D38/11</f>
        <v/>
      </c>
      <c r="I38" s="28" t="n">
        <v>46202</v>
      </c>
      <c r="J38" s="29" t="inlineStr">
        <is>
          <t>AWDS C01 drawings submitted to TII for review</t>
        </is>
      </c>
    </row>
    <row r="39">
      <c r="B39" s="25" t="inlineStr">
        <is>
          <t>M14</t>
        </is>
      </c>
      <c r="C39" s="25" t="inlineStr">
        <is>
          <t>M141</t>
        </is>
      </c>
      <c r="D39" s="25" t="n">
        <v>1</v>
      </c>
      <c r="E39" s="26">
        <f>IFERROR(VLOOKUP($D39,$R$2:$T$13,2,FALSE),"—")</f>
        <v/>
      </c>
      <c r="F39" s="26">
        <f>IFERROR(VLOOKUP($D39,$R$2:$T$13,3,FALSE),"—")</f>
        <v/>
      </c>
      <c r="G39" s="26" t="inlineStr">
        <is>
          <t>In Progress</t>
        </is>
      </c>
      <c r="H39" s="27">
        <f>$D39/11</f>
        <v/>
      </c>
      <c r="I39" s="28" t="n">
        <v>46198</v>
      </c>
      <c r="J39" s="29" t="inlineStr">
        <is>
          <t>Preparing for IDC review</t>
        </is>
      </c>
    </row>
    <row r="40">
      <c r="B40" s="25" t="inlineStr">
        <is>
          <t>M14</t>
        </is>
      </c>
      <c r="C40" s="25" t="inlineStr">
        <is>
          <t>M142</t>
        </is>
      </c>
      <c r="D40" s="25" t="n">
        <v>1</v>
      </c>
      <c r="E40" s="26">
        <f>IFERROR(VLOOKUP($D40,$R$2:$T$13,2,FALSE),"—")</f>
        <v/>
      </c>
      <c r="F40" s="26">
        <f>IFERROR(VLOOKUP($D40,$R$2:$T$13,3,FALSE),"—")</f>
        <v/>
      </c>
      <c r="G40" s="26" t="inlineStr">
        <is>
          <t>In Progress</t>
        </is>
      </c>
      <c r="H40" s="27">
        <f>$D40/11</f>
        <v/>
      </c>
      <c r="I40" s="28" t="n">
        <v>46198</v>
      </c>
      <c r="J40" s="29" t="inlineStr">
        <is>
          <t>Preparing for IDC review</t>
        </is>
      </c>
    </row>
    <row r="41">
      <c r="B41" s="25" t="inlineStr">
        <is>
          <t>M14</t>
        </is>
      </c>
      <c r="C41" s="25" t="inlineStr">
        <is>
          <t>M145</t>
        </is>
      </c>
      <c r="D41" s="25" t="n">
        <v>5</v>
      </c>
      <c r="E41" s="26">
        <f>IFERROR(VLOOKUP($D41,$R$2:$T$13,2,FALSE),"—")</f>
        <v/>
      </c>
      <c r="F41" s="26">
        <f>IFERROR(VLOOKUP($D41,$R$2:$T$13,3,FALSE),"—")</f>
        <v/>
      </c>
      <c r="G41" s="26" t="inlineStr">
        <is>
          <t>At Risk</t>
        </is>
      </c>
      <c r="H41" s="27">
        <f>$D41/11</f>
        <v/>
      </c>
      <c r="I41" s="28" t="n">
        <v>46203</v>
      </c>
      <c r="J41" s="29" t="inlineStr">
        <is>
          <t>AWDS resourcing constraint – monitor submission date</t>
        </is>
      </c>
    </row>
    <row r="42">
      <c r="B42" s="25" t="inlineStr">
        <is>
          <t>M14</t>
        </is>
      </c>
      <c r="C42" s="25" t="inlineStr">
        <is>
          <t>M146</t>
        </is>
      </c>
      <c r="D42" s="25" t="n">
        <v>1</v>
      </c>
      <c r="E42" s="26">
        <f>IFERROR(VLOOKUP($D42,$R$2:$T$13,2,FALSE),"—")</f>
        <v/>
      </c>
      <c r="F42" s="26">
        <f>IFERROR(VLOOKUP($D42,$R$2:$T$13,3,FALSE),"—")</f>
        <v/>
      </c>
      <c r="G42" s="26" t="inlineStr">
        <is>
          <t>In Progress</t>
        </is>
      </c>
      <c r="H42" s="27">
        <f>$D42/11</f>
        <v/>
      </c>
      <c r="I42" s="28" t="n">
        <v>46199</v>
      </c>
      <c r="J42" s="29" t="inlineStr">
        <is>
          <t>Preparing for IDC review</t>
        </is>
      </c>
    </row>
    <row r="43">
      <c r="B43" s="25" t="inlineStr">
        <is>
          <t>M14</t>
        </is>
      </c>
      <c r="C43" s="25" t="inlineStr">
        <is>
          <t>M147</t>
        </is>
      </c>
      <c r="D43" s="25" t="n">
        <v>3</v>
      </c>
      <c r="E43" s="26">
        <f>IFERROR(VLOOKUP($D43,$R$2:$T$13,2,FALSE),"—")</f>
        <v/>
      </c>
      <c r="F43" s="26">
        <f>IFERROR(VLOOKUP($D43,$R$2:$T$13,3,FALSE),"—")</f>
        <v/>
      </c>
      <c r="G43" s="26" t="inlineStr">
        <is>
          <t>Delayed</t>
        </is>
      </c>
      <c r="H43" s="27">
        <f>$D43/11</f>
        <v/>
      </c>
      <c r="I43" s="28" t="n">
        <v>46183</v>
      </c>
      <c r="J43" s="29" t="inlineStr">
        <is>
          <t>Rev 01 issued – awaiting TII instruction to issue C01</t>
        </is>
      </c>
    </row>
    <row r="44">
      <c r="B44" s="25" t="inlineStr">
        <is>
          <t>M14</t>
        </is>
      </c>
      <c r="C44" s="25" t="inlineStr">
        <is>
          <t>M190</t>
        </is>
      </c>
      <c r="D44" s="25" t="n">
        <v>3</v>
      </c>
      <c r="E44" s="26">
        <f>IFERROR(VLOOKUP($D44,$R$2:$T$13,2,FALSE),"—")</f>
        <v/>
      </c>
      <c r="F44" s="26">
        <f>IFERROR(VLOOKUP($D44,$R$2:$T$13,3,FALSE),"—")</f>
        <v/>
      </c>
      <c r="G44" s="26" t="inlineStr">
        <is>
          <t>In Progress</t>
        </is>
      </c>
      <c r="H44" s="27">
        <f>$D44/11</f>
        <v/>
      </c>
      <c r="I44" s="28" t="n">
        <v>46200</v>
      </c>
      <c r="J44" s="29" t="inlineStr">
        <is>
          <t>Full ITT pack issued at Rev 01</t>
        </is>
      </c>
    </row>
    <row r="45">
      <c r="B45" s="25" t="inlineStr">
        <is>
          <t>M13 &amp; M16</t>
        </is>
      </c>
      <c r="C45" s="25" t="inlineStr">
        <is>
          <t>M130</t>
        </is>
      </c>
      <c r="D45" s="25" t="n">
        <v>0</v>
      </c>
      <c r="E45" s="26">
        <f>IFERROR(VLOOKUP($D45,$R$2:$T$13,2,FALSE),"—")</f>
        <v/>
      </c>
      <c r="F45" s="26">
        <f>IFERROR(VLOOKUP($D45,$R$2:$T$13,3,FALSE),"—")</f>
        <v/>
      </c>
      <c r="G45" s="26" t="inlineStr">
        <is>
          <t>Not Started</t>
        </is>
      </c>
      <c r="H45" s="27">
        <f>$D45/11</f>
        <v/>
      </c>
      <c r="I45" s="28" t="n">
        <v>46193</v>
      </c>
      <c r="J45" s="29" t="inlineStr">
        <is>
          <t>Design pack in preparation</t>
        </is>
      </c>
    </row>
    <row r="46">
      <c r="B46" s="25" t="inlineStr">
        <is>
          <t>M13 &amp; M16</t>
        </is>
      </c>
      <c r="C46" s="25" t="inlineStr">
        <is>
          <t>M135</t>
        </is>
      </c>
      <c r="D46" s="25" t="n">
        <v>3</v>
      </c>
      <c r="E46" s="26">
        <f>IFERROR(VLOOKUP($D46,$R$2:$T$13,2,FALSE),"—")</f>
        <v/>
      </c>
      <c r="F46" s="26">
        <f>IFERROR(VLOOKUP($D46,$R$2:$T$13,3,FALSE),"—")</f>
        <v/>
      </c>
      <c r="G46" s="26" t="inlineStr">
        <is>
          <t>In Progress</t>
        </is>
      </c>
      <c r="H46" s="27">
        <f>$D46/11</f>
        <v/>
      </c>
      <c r="I46" s="28" t="n">
        <v>46201</v>
      </c>
      <c r="J46" s="29" t="inlineStr">
        <is>
          <t>Full ITT pack issued at Rev 01</t>
        </is>
      </c>
    </row>
    <row r="47">
      <c r="B47" s="25" t="inlineStr">
        <is>
          <t>M13 &amp; M16</t>
        </is>
      </c>
      <c r="C47" s="25" t="inlineStr">
        <is>
          <t>M138</t>
        </is>
      </c>
      <c r="D47" s="25" t="n">
        <v>0</v>
      </c>
      <c r="E47" s="26">
        <f>IFERROR(VLOOKUP($D47,$R$2:$T$13,2,FALSE),"—")</f>
        <v/>
      </c>
      <c r="F47" s="26">
        <f>IFERROR(VLOOKUP($D47,$R$2:$T$13,3,FALSE),"—")</f>
        <v/>
      </c>
      <c r="G47" s="26" t="inlineStr">
        <is>
          <t>Not Started</t>
        </is>
      </c>
      <c r="H47" s="27">
        <f>$D47/11</f>
        <v/>
      </c>
      <c r="I47" s="28" t="n">
        <v>46193</v>
      </c>
      <c r="J47" s="29" t="inlineStr">
        <is>
          <t>Design pack in preparation</t>
        </is>
      </c>
    </row>
    <row r="48">
      <c r="B48" s="25" t="inlineStr">
        <is>
          <t>M13 &amp; M16</t>
        </is>
      </c>
      <c r="C48" s="25" t="inlineStr">
        <is>
          <t>M160</t>
        </is>
      </c>
      <c r="D48" s="25" t="n">
        <v>0</v>
      </c>
      <c r="E48" s="26">
        <f>IFERROR(VLOOKUP($D48,$R$2:$T$13,2,FALSE),"—")</f>
        <v/>
      </c>
      <c r="F48" s="26">
        <f>IFERROR(VLOOKUP($D48,$R$2:$T$13,3,FALSE),"—")</f>
        <v/>
      </c>
      <c r="G48" s="26" t="inlineStr">
        <is>
          <t>Not Started</t>
        </is>
      </c>
      <c r="H48" s="27">
        <f>$D48/11</f>
        <v/>
      </c>
      <c r="I48" s="28" t="n">
        <v>46193</v>
      </c>
      <c r="J48" s="29" t="inlineStr">
        <is>
          <t>Design pack in preparation</t>
        </is>
      </c>
    </row>
    <row r="49">
      <c r="B49" s="25" t="inlineStr">
        <is>
          <t>M13 &amp; M16</t>
        </is>
      </c>
      <c r="C49" s="25" t="inlineStr">
        <is>
          <t>M161</t>
        </is>
      </c>
      <c r="D49" s="25" t="n">
        <v>0</v>
      </c>
      <c r="E49" s="26">
        <f>IFERROR(VLOOKUP($D49,$R$2:$T$13,2,FALSE),"—")</f>
        <v/>
      </c>
      <c r="F49" s="26">
        <f>IFERROR(VLOOKUP($D49,$R$2:$T$13,3,FALSE),"—")</f>
        <v/>
      </c>
      <c r="G49" s="26" t="inlineStr">
        <is>
          <t>At Risk</t>
        </is>
      </c>
      <c r="H49" s="27">
        <f>$D49/11</f>
        <v/>
      </c>
      <c r="I49" s="28" t="n">
        <v>46203</v>
      </c>
      <c r="J49" s="29" t="inlineStr">
        <is>
          <t>Start date at risk of slipping – awaiting design brief</t>
        </is>
      </c>
    </row>
    <row r="50">
      <c r="B50" s="25" t="inlineStr">
        <is>
          <t>Framework</t>
        </is>
      </c>
      <c r="C50" s="25" t="inlineStr">
        <is>
          <t>M11</t>
        </is>
      </c>
      <c r="D50" s="25" t="n">
        <v>11</v>
      </c>
      <c r="E50" s="26">
        <f>IFERROR(VLOOKUP($D50,$R$2:$T$13,2,FALSE),"—")</f>
        <v/>
      </c>
      <c r="F50" s="26">
        <f>IFERROR(VLOOKUP($D50,$R$2:$T$13,3,FALSE),"—")</f>
        <v/>
      </c>
      <c r="G50" s="26" t="inlineStr">
        <is>
          <t>In Progress</t>
        </is>
      </c>
      <c r="H50" s="27">
        <f>$D50/11</f>
        <v/>
      </c>
      <c r="I50" s="28" t="n">
        <v>46202</v>
      </c>
      <c r="J50" s="29" t="inlineStr">
        <is>
          <t>Framework contract – ongoing works; stage mapped to Construction Start</t>
        </is>
      </c>
    </row>
    <row r="51">
      <c r="B51" s="25" t="inlineStr">
        <is>
          <t>Framework</t>
        </is>
      </c>
      <c r="C51" s="25" t="inlineStr">
        <is>
          <t>Minor Works</t>
        </is>
      </c>
      <c r="D51" s="25" t="n">
        <v>11</v>
      </c>
      <c r="E51" s="26">
        <f>IFERROR(VLOOKUP($D51,$R$2:$T$13,2,FALSE),"—")</f>
        <v/>
      </c>
      <c r="F51" s="26">
        <f>IFERROR(VLOOKUP($D51,$R$2:$T$13,3,FALSE),"—")</f>
        <v/>
      </c>
      <c r="G51" s="26" t="inlineStr">
        <is>
          <t>In Progress</t>
        </is>
      </c>
      <c r="H51" s="27">
        <f>$D51/11</f>
        <v/>
      </c>
      <c r="I51" s="28" t="n">
        <v>46204</v>
      </c>
      <c r="J51" s="29" t="inlineStr">
        <is>
          <t>Framework contract – multiple work orders in progress across the network</t>
        </is>
      </c>
    </row>
    <row r="52">
      <c r="B52" s="25" t="inlineStr">
        <is>
          <t>Framework</t>
        </is>
      </c>
      <c r="C52" s="25" t="inlineStr">
        <is>
          <t>Baseline Monitoring</t>
        </is>
      </c>
      <c r="D52" s="25" t="n">
        <v>11</v>
      </c>
      <c r="E52" s="26">
        <f>IFERROR(VLOOKUP($D52,$R$2:$T$13,2,FALSE),"—")</f>
        <v/>
      </c>
      <c r="F52" s="26">
        <f>IFERROR(VLOOKUP($D52,$R$2:$T$13,3,FALSE),"—")</f>
        <v/>
      </c>
      <c r="G52" s="26" t="inlineStr">
        <is>
          <t>Complete</t>
        </is>
      </c>
      <c r="H52" s="27">
        <f>$D52/11</f>
        <v/>
      </c>
      <c r="I52" s="28" t="n">
        <v>46188</v>
      </c>
      <c r="J52" s="29" t="inlineStr">
        <is>
          <t>Framework contract – baseline survey complete, monitoring ongoing</t>
        </is>
      </c>
    </row>
    <row r="53">
      <c r="B53" s="25" t="inlineStr">
        <is>
          <t>Framework</t>
        </is>
      </c>
      <c r="C53" s="25" t="inlineStr">
        <is>
          <t>DAA</t>
        </is>
      </c>
      <c r="D53" s="25" t="n">
        <v>9</v>
      </c>
      <c r="E53" s="26">
        <f>IFERROR(VLOOKUP($D53,$R$2:$T$13,2,FALSE),"—")</f>
        <v/>
      </c>
      <c r="F53" s="26">
        <f>IFERROR(VLOOKUP($D53,$R$2:$T$13,3,FALSE),"—")</f>
        <v/>
      </c>
      <c r="G53" s="26" t="inlineStr">
        <is>
          <t>At Risk</t>
        </is>
      </c>
      <c r="H53" s="27">
        <f>$D53/11</f>
        <v/>
      </c>
      <c r="I53" s="28" t="n">
        <v>46203</v>
      </c>
      <c r="J53" s="29" t="inlineStr">
        <is>
          <t>Framework contract – awaiting access agreement sign-off before award</t>
        </is>
      </c>
    </row>
    <row r="56">
      <c r="B56" s="22" t="inlineStr">
        <is>
          <t>Stage Map — Where Every Contract Sits Today</t>
        </is>
      </c>
    </row>
    <row r="57">
      <c r="B57" s="23" t="inlineStr">
        <is>
          <t>Each marker shows a contract's current stage, coloured by status. Updates live from the table above.</t>
        </is>
      </c>
    </row>
    <row r="58">
      <c r="B58" s="24" t="inlineStr">
        <is>
          <t>Contract</t>
        </is>
      </c>
      <c r="C58" s="24" t="inlineStr">
        <is>
          <t>Group</t>
        </is>
      </c>
      <c r="D58" s="30" t="n">
        <v>0</v>
      </c>
      <c r="E58" s="24" t="n">
        <v>1</v>
      </c>
      <c r="F58" s="24" t="n">
        <v>2</v>
      </c>
      <c r="G58" s="24" t="n">
        <v>3</v>
      </c>
      <c r="H58" s="24" t="n">
        <v>4</v>
      </c>
      <c r="I58" s="24" t="n">
        <v>5</v>
      </c>
      <c r="J58" s="24" t="n">
        <v>6</v>
      </c>
      <c r="K58" s="24" t="n">
        <v>7</v>
      </c>
      <c r="L58" s="24" t="n">
        <v>8</v>
      </c>
      <c r="M58" s="24" t="n">
        <v>9</v>
      </c>
      <c r="N58" s="24" t="n">
        <v>10</v>
      </c>
      <c r="O58" s="24" t="n">
        <v>11</v>
      </c>
    </row>
    <row r="59">
      <c r="B59" s="31" t="inlineStr">
        <is>
          <t>M140</t>
        </is>
      </c>
      <c r="C59" s="32" t="inlineStr">
        <is>
          <t>M14</t>
        </is>
      </c>
      <c r="D59" s="33">
        <f>IF(VLOOKUP($B59,$C$38:$D$53,2,FALSE)=0,"●","")</f>
        <v/>
      </c>
      <c r="E59" s="33">
        <f>IF(VLOOKUP($B59,$C$38:$D$53,2,FALSE)=1,"●","")</f>
        <v/>
      </c>
      <c r="F59" s="33">
        <f>IF(VLOOKUP($B59,$C$38:$D$53,2,FALSE)=2,"●","")</f>
        <v/>
      </c>
      <c r="G59" s="33">
        <f>IF(VLOOKUP($B59,$C$38:$D$53,2,FALSE)=3,"●","")</f>
        <v/>
      </c>
      <c r="H59" s="33">
        <f>IF(VLOOKUP($B59,$C$38:$D$53,2,FALSE)=4,"●","")</f>
        <v/>
      </c>
      <c r="I59" s="33">
        <f>IF(VLOOKUP($B59,$C$38:$D$53,2,FALSE)=5,"●","")</f>
        <v/>
      </c>
      <c r="J59" s="33">
        <f>IF(VLOOKUP($B59,$C$38:$D$53,2,FALSE)=6,"●","")</f>
        <v/>
      </c>
      <c r="K59" s="33">
        <f>IF(VLOOKUP($B59,$C$38:$D$53,2,FALSE)=7,"●","")</f>
        <v/>
      </c>
      <c r="L59" s="33">
        <f>IF(VLOOKUP($B59,$C$38:$D$53,2,FALSE)=8,"●","")</f>
        <v/>
      </c>
      <c r="M59" s="33">
        <f>IF(VLOOKUP($B59,$C$38:$D$53,2,FALSE)=9,"●","")</f>
        <v/>
      </c>
      <c r="N59" s="33">
        <f>IF(VLOOKUP($B59,$C$38:$D$53,2,FALSE)=10,"●","")</f>
        <v/>
      </c>
      <c r="O59" s="33">
        <f>IF(VLOOKUP($B59,$C$38:$D$53,2,FALSE)=11,"●","")</f>
        <v/>
      </c>
    </row>
    <row r="60">
      <c r="B60" s="34" t="inlineStr">
        <is>
          <t>M141</t>
        </is>
      </c>
      <c r="C60" s="35" t="inlineStr">
        <is>
          <t>M14</t>
        </is>
      </c>
      <c r="D60" s="36">
        <f>IF(VLOOKUP($B60,$C$38:$D$53,2,FALSE)=0,"●","")</f>
        <v/>
      </c>
      <c r="E60" s="36">
        <f>IF(VLOOKUP($B60,$C$38:$D$53,2,FALSE)=1,"●","")</f>
        <v/>
      </c>
      <c r="F60" s="36">
        <f>IF(VLOOKUP($B60,$C$38:$D$53,2,FALSE)=2,"●","")</f>
        <v/>
      </c>
      <c r="G60" s="36">
        <f>IF(VLOOKUP($B60,$C$38:$D$53,2,FALSE)=3,"●","")</f>
        <v/>
      </c>
      <c r="H60" s="36">
        <f>IF(VLOOKUP($B60,$C$38:$D$53,2,FALSE)=4,"●","")</f>
        <v/>
      </c>
      <c r="I60" s="36">
        <f>IF(VLOOKUP($B60,$C$38:$D$53,2,FALSE)=5,"●","")</f>
        <v/>
      </c>
      <c r="J60" s="36">
        <f>IF(VLOOKUP($B60,$C$38:$D$53,2,FALSE)=6,"●","")</f>
        <v/>
      </c>
      <c r="K60" s="36">
        <f>IF(VLOOKUP($B60,$C$38:$D$53,2,FALSE)=7,"●","")</f>
        <v/>
      </c>
      <c r="L60" s="36">
        <f>IF(VLOOKUP($B60,$C$38:$D$53,2,FALSE)=8,"●","")</f>
        <v/>
      </c>
      <c r="M60" s="36">
        <f>IF(VLOOKUP($B60,$C$38:$D$53,2,FALSE)=9,"●","")</f>
        <v/>
      </c>
      <c r="N60" s="36">
        <f>IF(VLOOKUP($B60,$C$38:$D$53,2,FALSE)=10,"●","")</f>
        <v/>
      </c>
      <c r="O60" s="36">
        <f>IF(VLOOKUP($B60,$C$38:$D$53,2,FALSE)=11,"●","")</f>
        <v/>
      </c>
    </row>
    <row r="61">
      <c r="B61" s="31" t="inlineStr">
        <is>
          <t>M142</t>
        </is>
      </c>
      <c r="C61" s="32" t="inlineStr">
        <is>
          <t>M14</t>
        </is>
      </c>
      <c r="D61" s="33">
        <f>IF(VLOOKUP($B61,$C$38:$D$53,2,FALSE)=0,"●","")</f>
        <v/>
      </c>
      <c r="E61" s="33">
        <f>IF(VLOOKUP($B61,$C$38:$D$53,2,FALSE)=1,"●","")</f>
        <v/>
      </c>
      <c r="F61" s="33">
        <f>IF(VLOOKUP($B61,$C$38:$D$53,2,FALSE)=2,"●","")</f>
        <v/>
      </c>
      <c r="G61" s="33">
        <f>IF(VLOOKUP($B61,$C$38:$D$53,2,FALSE)=3,"●","")</f>
        <v/>
      </c>
      <c r="H61" s="33">
        <f>IF(VLOOKUP($B61,$C$38:$D$53,2,FALSE)=4,"●","")</f>
        <v/>
      </c>
      <c r="I61" s="33">
        <f>IF(VLOOKUP($B61,$C$38:$D$53,2,FALSE)=5,"●","")</f>
        <v/>
      </c>
      <c r="J61" s="33">
        <f>IF(VLOOKUP($B61,$C$38:$D$53,2,FALSE)=6,"●","")</f>
        <v/>
      </c>
      <c r="K61" s="33">
        <f>IF(VLOOKUP($B61,$C$38:$D$53,2,FALSE)=7,"●","")</f>
        <v/>
      </c>
      <c r="L61" s="33">
        <f>IF(VLOOKUP($B61,$C$38:$D$53,2,FALSE)=8,"●","")</f>
        <v/>
      </c>
      <c r="M61" s="33">
        <f>IF(VLOOKUP($B61,$C$38:$D$53,2,FALSE)=9,"●","")</f>
        <v/>
      </c>
      <c r="N61" s="33">
        <f>IF(VLOOKUP($B61,$C$38:$D$53,2,FALSE)=10,"●","")</f>
        <v/>
      </c>
      <c r="O61" s="33">
        <f>IF(VLOOKUP($B61,$C$38:$D$53,2,FALSE)=11,"●","")</f>
        <v/>
      </c>
    </row>
    <row r="62">
      <c r="B62" s="34" t="inlineStr">
        <is>
          <t>M145</t>
        </is>
      </c>
      <c r="C62" s="35" t="inlineStr">
        <is>
          <t>M14</t>
        </is>
      </c>
      <c r="D62" s="36">
        <f>IF(VLOOKUP($B62,$C$38:$D$53,2,FALSE)=0,"●","")</f>
        <v/>
      </c>
      <c r="E62" s="36">
        <f>IF(VLOOKUP($B62,$C$38:$D$53,2,FALSE)=1,"●","")</f>
        <v/>
      </c>
      <c r="F62" s="36">
        <f>IF(VLOOKUP($B62,$C$38:$D$53,2,FALSE)=2,"●","")</f>
        <v/>
      </c>
      <c r="G62" s="36">
        <f>IF(VLOOKUP($B62,$C$38:$D$53,2,FALSE)=3,"●","")</f>
        <v/>
      </c>
      <c r="H62" s="36">
        <f>IF(VLOOKUP($B62,$C$38:$D$53,2,FALSE)=4,"●","")</f>
        <v/>
      </c>
      <c r="I62" s="36">
        <f>IF(VLOOKUP($B62,$C$38:$D$53,2,FALSE)=5,"●","")</f>
        <v/>
      </c>
      <c r="J62" s="36">
        <f>IF(VLOOKUP($B62,$C$38:$D$53,2,FALSE)=6,"●","")</f>
        <v/>
      </c>
      <c r="K62" s="36">
        <f>IF(VLOOKUP($B62,$C$38:$D$53,2,FALSE)=7,"●","")</f>
        <v/>
      </c>
      <c r="L62" s="36">
        <f>IF(VLOOKUP($B62,$C$38:$D$53,2,FALSE)=8,"●","")</f>
        <v/>
      </c>
      <c r="M62" s="36">
        <f>IF(VLOOKUP($B62,$C$38:$D$53,2,FALSE)=9,"●","")</f>
        <v/>
      </c>
      <c r="N62" s="36">
        <f>IF(VLOOKUP($B62,$C$38:$D$53,2,FALSE)=10,"●","")</f>
        <v/>
      </c>
      <c r="O62" s="36">
        <f>IF(VLOOKUP($B62,$C$38:$D$53,2,FALSE)=11,"●","")</f>
        <v/>
      </c>
    </row>
    <row r="63">
      <c r="B63" s="31" t="inlineStr">
        <is>
          <t>M146</t>
        </is>
      </c>
      <c r="C63" s="32" t="inlineStr">
        <is>
          <t>M14</t>
        </is>
      </c>
      <c r="D63" s="33">
        <f>IF(VLOOKUP($B63,$C$38:$D$53,2,FALSE)=0,"●","")</f>
        <v/>
      </c>
      <c r="E63" s="33">
        <f>IF(VLOOKUP($B63,$C$38:$D$53,2,FALSE)=1,"●","")</f>
        <v/>
      </c>
      <c r="F63" s="33">
        <f>IF(VLOOKUP($B63,$C$38:$D$53,2,FALSE)=2,"●","")</f>
        <v/>
      </c>
      <c r="G63" s="33">
        <f>IF(VLOOKUP($B63,$C$38:$D$53,2,FALSE)=3,"●","")</f>
        <v/>
      </c>
      <c r="H63" s="33">
        <f>IF(VLOOKUP($B63,$C$38:$D$53,2,FALSE)=4,"●","")</f>
        <v/>
      </c>
      <c r="I63" s="33">
        <f>IF(VLOOKUP($B63,$C$38:$D$53,2,FALSE)=5,"●","")</f>
        <v/>
      </c>
      <c r="J63" s="33">
        <f>IF(VLOOKUP($B63,$C$38:$D$53,2,FALSE)=6,"●","")</f>
        <v/>
      </c>
      <c r="K63" s="33">
        <f>IF(VLOOKUP($B63,$C$38:$D$53,2,FALSE)=7,"●","")</f>
        <v/>
      </c>
      <c r="L63" s="33">
        <f>IF(VLOOKUP($B63,$C$38:$D$53,2,FALSE)=8,"●","")</f>
        <v/>
      </c>
      <c r="M63" s="33">
        <f>IF(VLOOKUP($B63,$C$38:$D$53,2,FALSE)=9,"●","")</f>
        <v/>
      </c>
      <c r="N63" s="33">
        <f>IF(VLOOKUP($B63,$C$38:$D$53,2,FALSE)=10,"●","")</f>
        <v/>
      </c>
      <c r="O63" s="33">
        <f>IF(VLOOKUP($B63,$C$38:$D$53,2,FALSE)=11,"●","")</f>
        <v/>
      </c>
    </row>
    <row r="64">
      <c r="B64" s="34" t="inlineStr">
        <is>
          <t>M147</t>
        </is>
      </c>
      <c r="C64" s="35" t="inlineStr">
        <is>
          <t>M14</t>
        </is>
      </c>
      <c r="D64" s="36">
        <f>IF(VLOOKUP($B64,$C$38:$D$53,2,FALSE)=0,"●","")</f>
        <v/>
      </c>
      <c r="E64" s="36">
        <f>IF(VLOOKUP($B64,$C$38:$D$53,2,FALSE)=1,"●","")</f>
        <v/>
      </c>
      <c r="F64" s="36">
        <f>IF(VLOOKUP($B64,$C$38:$D$53,2,FALSE)=2,"●","")</f>
        <v/>
      </c>
      <c r="G64" s="36">
        <f>IF(VLOOKUP($B64,$C$38:$D$53,2,FALSE)=3,"●","")</f>
        <v/>
      </c>
      <c r="H64" s="36">
        <f>IF(VLOOKUP($B64,$C$38:$D$53,2,FALSE)=4,"●","")</f>
        <v/>
      </c>
      <c r="I64" s="36">
        <f>IF(VLOOKUP($B64,$C$38:$D$53,2,FALSE)=5,"●","")</f>
        <v/>
      </c>
      <c r="J64" s="36">
        <f>IF(VLOOKUP($B64,$C$38:$D$53,2,FALSE)=6,"●","")</f>
        <v/>
      </c>
      <c r="K64" s="36">
        <f>IF(VLOOKUP($B64,$C$38:$D$53,2,FALSE)=7,"●","")</f>
        <v/>
      </c>
      <c r="L64" s="36">
        <f>IF(VLOOKUP($B64,$C$38:$D$53,2,FALSE)=8,"●","")</f>
        <v/>
      </c>
      <c r="M64" s="36">
        <f>IF(VLOOKUP($B64,$C$38:$D$53,2,FALSE)=9,"●","")</f>
        <v/>
      </c>
      <c r="N64" s="36">
        <f>IF(VLOOKUP($B64,$C$38:$D$53,2,FALSE)=10,"●","")</f>
        <v/>
      </c>
      <c r="O64" s="36">
        <f>IF(VLOOKUP($B64,$C$38:$D$53,2,FALSE)=11,"●","")</f>
        <v/>
      </c>
    </row>
    <row r="65">
      <c r="B65" s="31" t="inlineStr">
        <is>
          <t>M190</t>
        </is>
      </c>
      <c r="C65" s="32" t="inlineStr">
        <is>
          <t>M14</t>
        </is>
      </c>
      <c r="D65" s="33">
        <f>IF(VLOOKUP($B65,$C$38:$D$53,2,FALSE)=0,"●","")</f>
        <v/>
      </c>
      <c r="E65" s="33">
        <f>IF(VLOOKUP($B65,$C$38:$D$53,2,FALSE)=1,"●","")</f>
        <v/>
      </c>
      <c r="F65" s="33">
        <f>IF(VLOOKUP($B65,$C$38:$D$53,2,FALSE)=2,"●","")</f>
        <v/>
      </c>
      <c r="G65" s="33">
        <f>IF(VLOOKUP($B65,$C$38:$D$53,2,FALSE)=3,"●","")</f>
        <v/>
      </c>
      <c r="H65" s="33">
        <f>IF(VLOOKUP($B65,$C$38:$D$53,2,FALSE)=4,"●","")</f>
        <v/>
      </c>
      <c r="I65" s="33">
        <f>IF(VLOOKUP($B65,$C$38:$D$53,2,FALSE)=5,"●","")</f>
        <v/>
      </c>
      <c r="J65" s="33">
        <f>IF(VLOOKUP($B65,$C$38:$D$53,2,FALSE)=6,"●","")</f>
        <v/>
      </c>
      <c r="K65" s="33">
        <f>IF(VLOOKUP($B65,$C$38:$D$53,2,FALSE)=7,"●","")</f>
        <v/>
      </c>
      <c r="L65" s="33">
        <f>IF(VLOOKUP($B65,$C$38:$D$53,2,FALSE)=8,"●","")</f>
        <v/>
      </c>
      <c r="M65" s="33">
        <f>IF(VLOOKUP($B65,$C$38:$D$53,2,FALSE)=9,"●","")</f>
        <v/>
      </c>
      <c r="N65" s="33">
        <f>IF(VLOOKUP($B65,$C$38:$D$53,2,FALSE)=10,"●","")</f>
        <v/>
      </c>
      <c r="O65" s="33">
        <f>IF(VLOOKUP($B65,$C$38:$D$53,2,FALSE)=11,"●","")</f>
        <v/>
      </c>
    </row>
    <row r="66">
      <c r="B66" s="34" t="inlineStr">
        <is>
          <t>M130</t>
        </is>
      </c>
      <c r="C66" s="35" t="inlineStr">
        <is>
          <t>M13 &amp; M16</t>
        </is>
      </c>
      <c r="D66" s="36">
        <f>IF(VLOOKUP($B66,$C$38:$D$53,2,FALSE)=0,"●","")</f>
        <v/>
      </c>
      <c r="E66" s="36">
        <f>IF(VLOOKUP($B66,$C$38:$D$53,2,FALSE)=1,"●","")</f>
        <v/>
      </c>
      <c r="F66" s="36">
        <f>IF(VLOOKUP($B66,$C$38:$D$53,2,FALSE)=2,"●","")</f>
        <v/>
      </c>
      <c r="G66" s="36">
        <f>IF(VLOOKUP($B66,$C$38:$D$53,2,FALSE)=3,"●","")</f>
        <v/>
      </c>
      <c r="H66" s="36">
        <f>IF(VLOOKUP($B66,$C$38:$D$53,2,FALSE)=4,"●","")</f>
        <v/>
      </c>
      <c r="I66" s="36">
        <f>IF(VLOOKUP($B66,$C$38:$D$53,2,FALSE)=5,"●","")</f>
        <v/>
      </c>
      <c r="J66" s="36">
        <f>IF(VLOOKUP($B66,$C$38:$D$53,2,FALSE)=6,"●","")</f>
        <v/>
      </c>
      <c r="K66" s="36">
        <f>IF(VLOOKUP($B66,$C$38:$D$53,2,FALSE)=7,"●","")</f>
        <v/>
      </c>
      <c r="L66" s="36">
        <f>IF(VLOOKUP($B66,$C$38:$D$53,2,FALSE)=8,"●","")</f>
        <v/>
      </c>
      <c r="M66" s="36">
        <f>IF(VLOOKUP($B66,$C$38:$D$53,2,FALSE)=9,"●","")</f>
        <v/>
      </c>
      <c r="N66" s="36">
        <f>IF(VLOOKUP($B66,$C$38:$D$53,2,FALSE)=10,"●","")</f>
        <v/>
      </c>
      <c r="O66" s="36">
        <f>IF(VLOOKUP($B66,$C$38:$D$53,2,FALSE)=11,"●","")</f>
        <v/>
      </c>
    </row>
    <row r="67">
      <c r="B67" s="31" t="inlineStr">
        <is>
          <t>M135</t>
        </is>
      </c>
      <c r="C67" s="32" t="inlineStr">
        <is>
          <t>M13 &amp; M16</t>
        </is>
      </c>
      <c r="D67" s="33">
        <f>IF(VLOOKUP($B67,$C$38:$D$53,2,FALSE)=0,"●","")</f>
        <v/>
      </c>
      <c r="E67" s="33">
        <f>IF(VLOOKUP($B67,$C$38:$D$53,2,FALSE)=1,"●","")</f>
        <v/>
      </c>
      <c r="F67" s="33">
        <f>IF(VLOOKUP($B67,$C$38:$D$53,2,FALSE)=2,"●","")</f>
        <v/>
      </c>
      <c r="G67" s="33">
        <f>IF(VLOOKUP($B67,$C$38:$D$53,2,FALSE)=3,"●","")</f>
        <v/>
      </c>
      <c r="H67" s="33">
        <f>IF(VLOOKUP($B67,$C$38:$D$53,2,FALSE)=4,"●","")</f>
        <v/>
      </c>
      <c r="I67" s="33">
        <f>IF(VLOOKUP($B67,$C$38:$D$53,2,FALSE)=5,"●","")</f>
        <v/>
      </c>
      <c r="J67" s="33">
        <f>IF(VLOOKUP($B67,$C$38:$D$53,2,FALSE)=6,"●","")</f>
        <v/>
      </c>
      <c r="K67" s="33">
        <f>IF(VLOOKUP($B67,$C$38:$D$53,2,FALSE)=7,"●","")</f>
        <v/>
      </c>
      <c r="L67" s="33">
        <f>IF(VLOOKUP($B67,$C$38:$D$53,2,FALSE)=8,"●","")</f>
        <v/>
      </c>
      <c r="M67" s="33">
        <f>IF(VLOOKUP($B67,$C$38:$D$53,2,FALSE)=9,"●","")</f>
        <v/>
      </c>
      <c r="N67" s="33">
        <f>IF(VLOOKUP($B67,$C$38:$D$53,2,FALSE)=10,"●","")</f>
        <v/>
      </c>
      <c r="O67" s="33">
        <f>IF(VLOOKUP($B67,$C$38:$D$53,2,FALSE)=11,"●","")</f>
        <v/>
      </c>
    </row>
    <row r="68">
      <c r="B68" s="34" t="inlineStr">
        <is>
          <t>M138</t>
        </is>
      </c>
      <c r="C68" s="35" t="inlineStr">
        <is>
          <t>M13 &amp; M16</t>
        </is>
      </c>
      <c r="D68" s="36">
        <f>IF(VLOOKUP($B68,$C$38:$D$53,2,FALSE)=0,"●","")</f>
        <v/>
      </c>
      <c r="E68" s="36">
        <f>IF(VLOOKUP($B68,$C$38:$D$53,2,FALSE)=1,"●","")</f>
        <v/>
      </c>
      <c r="F68" s="36">
        <f>IF(VLOOKUP($B68,$C$38:$D$53,2,FALSE)=2,"●","")</f>
        <v/>
      </c>
      <c r="G68" s="36">
        <f>IF(VLOOKUP($B68,$C$38:$D$53,2,FALSE)=3,"●","")</f>
        <v/>
      </c>
      <c r="H68" s="36">
        <f>IF(VLOOKUP($B68,$C$38:$D$53,2,FALSE)=4,"●","")</f>
        <v/>
      </c>
      <c r="I68" s="36">
        <f>IF(VLOOKUP($B68,$C$38:$D$53,2,FALSE)=5,"●","")</f>
        <v/>
      </c>
      <c r="J68" s="36">
        <f>IF(VLOOKUP($B68,$C$38:$D$53,2,FALSE)=6,"●","")</f>
        <v/>
      </c>
      <c r="K68" s="36">
        <f>IF(VLOOKUP($B68,$C$38:$D$53,2,FALSE)=7,"●","")</f>
        <v/>
      </c>
      <c r="L68" s="36">
        <f>IF(VLOOKUP($B68,$C$38:$D$53,2,FALSE)=8,"●","")</f>
        <v/>
      </c>
      <c r="M68" s="36">
        <f>IF(VLOOKUP($B68,$C$38:$D$53,2,FALSE)=9,"●","")</f>
        <v/>
      </c>
      <c r="N68" s="36">
        <f>IF(VLOOKUP($B68,$C$38:$D$53,2,FALSE)=10,"●","")</f>
        <v/>
      </c>
      <c r="O68" s="36">
        <f>IF(VLOOKUP($B68,$C$38:$D$53,2,FALSE)=11,"●","")</f>
        <v/>
      </c>
    </row>
    <row r="69">
      <c r="B69" s="31" t="inlineStr">
        <is>
          <t>M160</t>
        </is>
      </c>
      <c r="C69" s="32" t="inlineStr">
        <is>
          <t>M13 &amp; M16</t>
        </is>
      </c>
      <c r="D69" s="33">
        <f>IF(VLOOKUP($B69,$C$38:$D$53,2,FALSE)=0,"●","")</f>
        <v/>
      </c>
      <c r="E69" s="33">
        <f>IF(VLOOKUP($B69,$C$38:$D$53,2,FALSE)=1,"●","")</f>
        <v/>
      </c>
      <c r="F69" s="33">
        <f>IF(VLOOKUP($B69,$C$38:$D$53,2,FALSE)=2,"●","")</f>
        <v/>
      </c>
      <c r="G69" s="33">
        <f>IF(VLOOKUP($B69,$C$38:$D$53,2,FALSE)=3,"●","")</f>
        <v/>
      </c>
      <c r="H69" s="33">
        <f>IF(VLOOKUP($B69,$C$38:$D$53,2,FALSE)=4,"●","")</f>
        <v/>
      </c>
      <c r="I69" s="33">
        <f>IF(VLOOKUP($B69,$C$38:$D$53,2,FALSE)=5,"●","")</f>
        <v/>
      </c>
      <c r="J69" s="33">
        <f>IF(VLOOKUP($B69,$C$38:$D$53,2,FALSE)=6,"●","")</f>
        <v/>
      </c>
      <c r="K69" s="33">
        <f>IF(VLOOKUP($B69,$C$38:$D$53,2,FALSE)=7,"●","")</f>
        <v/>
      </c>
      <c r="L69" s="33">
        <f>IF(VLOOKUP($B69,$C$38:$D$53,2,FALSE)=8,"●","")</f>
        <v/>
      </c>
      <c r="M69" s="33">
        <f>IF(VLOOKUP($B69,$C$38:$D$53,2,FALSE)=9,"●","")</f>
        <v/>
      </c>
      <c r="N69" s="33">
        <f>IF(VLOOKUP($B69,$C$38:$D$53,2,FALSE)=10,"●","")</f>
        <v/>
      </c>
      <c r="O69" s="33">
        <f>IF(VLOOKUP($B69,$C$38:$D$53,2,FALSE)=11,"●","")</f>
        <v/>
      </c>
    </row>
    <row r="70">
      <c r="B70" s="34" t="inlineStr">
        <is>
          <t>M161</t>
        </is>
      </c>
      <c r="C70" s="35" t="inlineStr">
        <is>
          <t>M13 &amp; M16</t>
        </is>
      </c>
      <c r="D70" s="36">
        <f>IF(VLOOKUP($B70,$C$38:$D$53,2,FALSE)=0,"●","")</f>
        <v/>
      </c>
      <c r="E70" s="36">
        <f>IF(VLOOKUP($B70,$C$38:$D$53,2,FALSE)=1,"●","")</f>
        <v/>
      </c>
      <c r="F70" s="36">
        <f>IF(VLOOKUP($B70,$C$38:$D$53,2,FALSE)=2,"●","")</f>
        <v/>
      </c>
      <c r="G70" s="36">
        <f>IF(VLOOKUP($B70,$C$38:$D$53,2,FALSE)=3,"●","")</f>
        <v/>
      </c>
      <c r="H70" s="36">
        <f>IF(VLOOKUP($B70,$C$38:$D$53,2,FALSE)=4,"●","")</f>
        <v/>
      </c>
      <c r="I70" s="36">
        <f>IF(VLOOKUP($B70,$C$38:$D$53,2,FALSE)=5,"●","")</f>
        <v/>
      </c>
      <c r="J70" s="36">
        <f>IF(VLOOKUP($B70,$C$38:$D$53,2,FALSE)=6,"●","")</f>
        <v/>
      </c>
      <c r="K70" s="36">
        <f>IF(VLOOKUP($B70,$C$38:$D$53,2,FALSE)=7,"●","")</f>
        <v/>
      </c>
      <c r="L70" s="36">
        <f>IF(VLOOKUP($B70,$C$38:$D$53,2,FALSE)=8,"●","")</f>
        <v/>
      </c>
      <c r="M70" s="36">
        <f>IF(VLOOKUP($B70,$C$38:$D$53,2,FALSE)=9,"●","")</f>
        <v/>
      </c>
      <c r="N70" s="36">
        <f>IF(VLOOKUP($B70,$C$38:$D$53,2,FALSE)=10,"●","")</f>
        <v/>
      </c>
      <c r="O70" s="36">
        <f>IF(VLOOKUP($B70,$C$38:$D$53,2,FALSE)=11,"●","")</f>
        <v/>
      </c>
    </row>
    <row r="71">
      <c r="B71" s="31" t="inlineStr">
        <is>
          <t>M11</t>
        </is>
      </c>
      <c r="C71" s="32" t="inlineStr">
        <is>
          <t>Framework</t>
        </is>
      </c>
      <c r="D71" s="33">
        <f>IF(VLOOKUP($B71,$C$38:$D$53,2,FALSE)=0,"●","")</f>
        <v/>
      </c>
      <c r="E71" s="33">
        <f>IF(VLOOKUP($B71,$C$38:$D$53,2,FALSE)=1,"●","")</f>
        <v/>
      </c>
      <c r="F71" s="33">
        <f>IF(VLOOKUP($B71,$C$38:$D$53,2,FALSE)=2,"●","")</f>
        <v/>
      </c>
      <c r="G71" s="33">
        <f>IF(VLOOKUP($B71,$C$38:$D$53,2,FALSE)=3,"●","")</f>
        <v/>
      </c>
      <c r="H71" s="33">
        <f>IF(VLOOKUP($B71,$C$38:$D$53,2,FALSE)=4,"●","")</f>
        <v/>
      </c>
      <c r="I71" s="33">
        <f>IF(VLOOKUP($B71,$C$38:$D$53,2,FALSE)=5,"●","")</f>
        <v/>
      </c>
      <c r="J71" s="33">
        <f>IF(VLOOKUP($B71,$C$38:$D$53,2,FALSE)=6,"●","")</f>
        <v/>
      </c>
      <c r="K71" s="33">
        <f>IF(VLOOKUP($B71,$C$38:$D$53,2,FALSE)=7,"●","")</f>
        <v/>
      </c>
      <c r="L71" s="33">
        <f>IF(VLOOKUP($B71,$C$38:$D$53,2,FALSE)=8,"●","")</f>
        <v/>
      </c>
      <c r="M71" s="33">
        <f>IF(VLOOKUP($B71,$C$38:$D$53,2,FALSE)=9,"●","")</f>
        <v/>
      </c>
      <c r="N71" s="33">
        <f>IF(VLOOKUP($B71,$C$38:$D$53,2,FALSE)=10,"●","")</f>
        <v/>
      </c>
      <c r="O71" s="33">
        <f>IF(VLOOKUP($B71,$C$38:$D$53,2,FALSE)=11,"●","")</f>
        <v/>
      </c>
    </row>
    <row r="72">
      <c r="B72" s="34" t="inlineStr">
        <is>
          <t>Minor Works</t>
        </is>
      </c>
      <c r="C72" s="35" t="inlineStr">
        <is>
          <t>Framework</t>
        </is>
      </c>
      <c r="D72" s="36">
        <f>IF(VLOOKUP($B72,$C$38:$D$53,2,FALSE)=0,"●","")</f>
        <v/>
      </c>
      <c r="E72" s="36">
        <f>IF(VLOOKUP($B72,$C$38:$D$53,2,FALSE)=1,"●","")</f>
        <v/>
      </c>
      <c r="F72" s="36">
        <f>IF(VLOOKUP($B72,$C$38:$D$53,2,FALSE)=2,"●","")</f>
        <v/>
      </c>
      <c r="G72" s="36">
        <f>IF(VLOOKUP($B72,$C$38:$D$53,2,FALSE)=3,"●","")</f>
        <v/>
      </c>
      <c r="H72" s="36">
        <f>IF(VLOOKUP($B72,$C$38:$D$53,2,FALSE)=4,"●","")</f>
        <v/>
      </c>
      <c r="I72" s="36">
        <f>IF(VLOOKUP($B72,$C$38:$D$53,2,FALSE)=5,"●","")</f>
        <v/>
      </c>
      <c r="J72" s="36">
        <f>IF(VLOOKUP($B72,$C$38:$D$53,2,FALSE)=6,"●","")</f>
        <v/>
      </c>
      <c r="K72" s="36">
        <f>IF(VLOOKUP($B72,$C$38:$D$53,2,FALSE)=7,"●","")</f>
        <v/>
      </c>
      <c r="L72" s="36">
        <f>IF(VLOOKUP($B72,$C$38:$D$53,2,FALSE)=8,"●","")</f>
        <v/>
      </c>
      <c r="M72" s="36">
        <f>IF(VLOOKUP($B72,$C$38:$D$53,2,FALSE)=9,"●","")</f>
        <v/>
      </c>
      <c r="N72" s="36">
        <f>IF(VLOOKUP($B72,$C$38:$D$53,2,FALSE)=10,"●","")</f>
        <v/>
      </c>
      <c r="O72" s="36">
        <f>IF(VLOOKUP($B72,$C$38:$D$53,2,FALSE)=11,"●","")</f>
        <v/>
      </c>
    </row>
    <row r="73">
      <c r="B73" s="31" t="inlineStr">
        <is>
          <t>Baseline Monitoring</t>
        </is>
      </c>
      <c r="C73" s="32" t="inlineStr">
        <is>
          <t>Framework</t>
        </is>
      </c>
      <c r="D73" s="33">
        <f>IF(VLOOKUP($B73,$C$38:$D$53,2,FALSE)=0,"●","")</f>
        <v/>
      </c>
      <c r="E73" s="33">
        <f>IF(VLOOKUP($B73,$C$38:$D$53,2,FALSE)=1,"●","")</f>
        <v/>
      </c>
      <c r="F73" s="33">
        <f>IF(VLOOKUP($B73,$C$38:$D$53,2,FALSE)=2,"●","")</f>
        <v/>
      </c>
      <c r="G73" s="33">
        <f>IF(VLOOKUP($B73,$C$38:$D$53,2,FALSE)=3,"●","")</f>
        <v/>
      </c>
      <c r="H73" s="33">
        <f>IF(VLOOKUP($B73,$C$38:$D$53,2,FALSE)=4,"●","")</f>
        <v/>
      </c>
      <c r="I73" s="33">
        <f>IF(VLOOKUP($B73,$C$38:$D$53,2,FALSE)=5,"●","")</f>
        <v/>
      </c>
      <c r="J73" s="33">
        <f>IF(VLOOKUP($B73,$C$38:$D$53,2,FALSE)=6,"●","")</f>
        <v/>
      </c>
      <c r="K73" s="33">
        <f>IF(VLOOKUP($B73,$C$38:$D$53,2,FALSE)=7,"●","")</f>
        <v/>
      </c>
      <c r="L73" s="33">
        <f>IF(VLOOKUP($B73,$C$38:$D$53,2,FALSE)=8,"●","")</f>
        <v/>
      </c>
      <c r="M73" s="33">
        <f>IF(VLOOKUP($B73,$C$38:$D$53,2,FALSE)=9,"●","")</f>
        <v/>
      </c>
      <c r="N73" s="33">
        <f>IF(VLOOKUP($B73,$C$38:$D$53,2,FALSE)=10,"●","")</f>
        <v/>
      </c>
      <c r="O73" s="33">
        <f>IF(VLOOKUP($B73,$C$38:$D$53,2,FALSE)=11,"●","")</f>
        <v/>
      </c>
    </row>
    <row r="74">
      <c r="B74" s="34" t="inlineStr">
        <is>
          <t>DAA</t>
        </is>
      </c>
      <c r="C74" s="35" t="inlineStr">
        <is>
          <t>Framework</t>
        </is>
      </c>
      <c r="D74" s="36">
        <f>IF(VLOOKUP($B74,$C$38:$D$53,2,FALSE)=0,"●","")</f>
        <v/>
      </c>
      <c r="E74" s="36">
        <f>IF(VLOOKUP($B74,$C$38:$D$53,2,FALSE)=1,"●","")</f>
        <v/>
      </c>
      <c r="F74" s="36">
        <f>IF(VLOOKUP($B74,$C$38:$D$53,2,FALSE)=2,"●","")</f>
        <v/>
      </c>
      <c r="G74" s="36">
        <f>IF(VLOOKUP($B74,$C$38:$D$53,2,FALSE)=3,"●","")</f>
        <v/>
      </c>
      <c r="H74" s="36">
        <f>IF(VLOOKUP($B74,$C$38:$D$53,2,FALSE)=4,"●","")</f>
        <v/>
      </c>
      <c r="I74" s="36">
        <f>IF(VLOOKUP($B74,$C$38:$D$53,2,FALSE)=5,"●","")</f>
        <v/>
      </c>
      <c r="J74" s="36">
        <f>IF(VLOOKUP($B74,$C$38:$D$53,2,FALSE)=6,"●","")</f>
        <v/>
      </c>
      <c r="K74" s="36">
        <f>IF(VLOOKUP($B74,$C$38:$D$53,2,FALSE)=7,"●","")</f>
        <v/>
      </c>
      <c r="L74" s="36">
        <f>IF(VLOOKUP($B74,$C$38:$D$53,2,FALSE)=8,"●","")</f>
        <v/>
      </c>
      <c r="M74" s="36">
        <f>IF(VLOOKUP($B74,$C$38:$D$53,2,FALSE)=9,"●","")</f>
        <v/>
      </c>
      <c r="N74" s="36">
        <f>IF(VLOOKUP($B74,$C$38:$D$53,2,FALSE)=10,"●","")</f>
        <v/>
      </c>
      <c r="O74" s="36">
        <f>IF(VLOOKUP($B74,$C$38:$D$53,2,FALSE)=11,"●","")</f>
        <v/>
      </c>
    </row>
    <row r="77">
      <c r="B77" s="37" t="inlineStr">
        <is>
          <t>Status:</t>
        </is>
      </c>
      <c r="C77" s="38" t="inlineStr">
        <is>
          <t xml:space="preserve">  Not Started</t>
        </is>
      </c>
      <c r="D77" s="39" t="inlineStr">
        <is>
          <t xml:space="preserve">  In Progress</t>
        </is>
      </c>
      <c r="E77" s="40" t="inlineStr">
        <is>
          <t xml:space="preserve">  At Risk</t>
        </is>
      </c>
      <c r="F77" s="41" t="inlineStr">
        <is>
          <t xml:space="preserve">  Delayed</t>
        </is>
      </c>
      <c r="G77" s="42" t="inlineStr">
        <is>
          <t xml:space="preserve">  Complete</t>
        </is>
      </c>
    </row>
    <row r="79">
      <c r="B79" s="23" t="inlineStr">
        <is>
          <t>Tip: use the column filters on the Contract Tracker table to drill into any status, group or stage. The reference lists behind the charts are grouped and hidden in columns R:Y — click the outline '+' above column R to expand.</t>
        </is>
      </c>
    </row>
  </sheetData>
  <mergeCells count="15">
    <mergeCell ref="D8:E8"/>
    <mergeCell ref="F9:G10"/>
    <mergeCell ref="J9:K10"/>
    <mergeCell ref="L9:M10"/>
    <mergeCell ref="B4:O5"/>
    <mergeCell ref="B6:O6"/>
    <mergeCell ref="B2:O3"/>
    <mergeCell ref="J8:K8"/>
    <mergeCell ref="H9:I10"/>
    <mergeCell ref="H8:I8"/>
    <mergeCell ref="L8:M8"/>
    <mergeCell ref="B8:C8"/>
    <mergeCell ref="B9:C10"/>
    <mergeCell ref="D9:E10"/>
    <mergeCell ref="F8:G8"/>
  </mergeCells>
  <conditionalFormatting sqref="G38:G53">
    <cfRule type="cellIs" priority="1" operator="equal" dxfId="0">
      <formula>"Not Started"</formula>
    </cfRule>
    <cfRule type="cellIs" priority="2" operator="equal" dxfId="1">
      <formula>"In Progress"</formula>
    </cfRule>
    <cfRule type="cellIs" priority="3" operator="equal" dxfId="2">
      <formula>"At Risk"</formula>
    </cfRule>
    <cfRule type="cellIs" priority="4" operator="equal" dxfId="3">
      <formula>"Delayed"</formula>
    </cfRule>
    <cfRule type="cellIs" priority="5" operator="equal" dxfId="4">
      <formula>"Complete"</formula>
    </cfRule>
  </conditionalFormatting>
  <conditionalFormatting sqref="H38:H53">
    <cfRule type="dataBar" priority="6">
      <dataBar showValue="1">
        <cfvo type="num" val="0"/>
        <cfvo type="num" val="1"/>
        <color rgb="002E6FA3"/>
      </dataBar>
    </cfRule>
  </conditionalFormatting>
  <conditionalFormatting sqref="D59:O74">
    <cfRule type="expression" priority="7" dxfId="5">
      <formula>AND(D59&lt;&gt;"",VLOOKUP($B59,$C$38:$G$53,5,FALSE)="Not Started")</formula>
    </cfRule>
    <cfRule type="expression" priority="8" dxfId="6">
      <formula>AND(D59&lt;&gt;"",VLOOKUP($B59,$C$38:$G$53,5,FALSE)="In Progress")</formula>
    </cfRule>
    <cfRule type="expression" priority="9" dxfId="7">
      <formula>AND(D59&lt;&gt;"",VLOOKUP($B59,$C$38:$G$53,5,FALSE)="At Risk")</formula>
    </cfRule>
    <cfRule type="expression" priority="10" dxfId="8">
      <formula>AND(D59&lt;&gt;"",VLOOKUP($B59,$C$38:$G$53,5,FALSE)="Delayed")</formula>
    </cfRule>
    <cfRule type="expression" priority="11" dxfId="9">
      <formula>AND(D59&lt;&gt;"",VLOOKUP($B59,$C$38:$G$53,5,FALSE)="Complete")</formula>
    </cfRule>
  </conditionalFormatting>
  <dataValidations count="2">
    <dataValidation sqref="D38:D53" showDropDown="0" showInputMessage="0" showErrorMessage="0" allowBlank="0" errorTitle="Invalid stage" error="Choose a stage number from 0 (not started) to 11 (construction start)." type="list">
      <formula1>=$R$2:$R$13</formula1>
    </dataValidation>
    <dataValidation sqref="G38:G53" showDropDown="0" showInputMessage="0" showErrorMessage="0" allowBlank="0" type="list">
      <formula1>=$X$2:$X$6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2026-07-02T16:06:35Z</dcterms:created>
  <dcterms:modified xsi:type="dcterms:W3CDTF">2026-07-02T16:06:35Z</dcterms:modified>
</cp:coreProperties>
</file>