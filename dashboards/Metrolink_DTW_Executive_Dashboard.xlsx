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xecutive Dashboard" sheetId="1" state="visible" r:id="rId1"/>
    <sheet name="Stage Guide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d mmm yyyy"/>
  </numFmts>
  <fonts count="16">
    <font>
      <name val="Calibri"/>
      <family val="2"/>
      <color theme="1"/>
      <sz val="11"/>
      <scheme val="minor"/>
    </font>
    <font>
      <name val="Calibri"/>
      <b val="1"/>
      <color rgb="005B6472"/>
      <sz val="8.5"/>
    </font>
    <font>
      <name val="Calibri"/>
      <b val="1"/>
      <color rgb="001B2A4A"/>
      <sz val="26"/>
    </font>
    <font>
      <name val="Calibri"/>
      <b val="1"/>
      <color rgb="002E6FA3"/>
      <sz val="9.5"/>
    </font>
    <font>
      <name val="Calibri"/>
      <b val="1"/>
      <color rgb="00E8792E"/>
      <sz val="9.5"/>
    </font>
    <font>
      <name val="Calibri"/>
      <b val="1"/>
      <color rgb="00E8792E"/>
      <sz val="12"/>
    </font>
    <font>
      <name val="Calibri"/>
      <i val="1"/>
      <color rgb="005B6472"/>
      <sz val="9"/>
    </font>
    <font>
      <name val="Calibri"/>
      <b val="1"/>
      <color rgb="00FFFFFF"/>
      <sz val="10"/>
    </font>
    <font>
      <name val="Calibri"/>
      <color rgb="001A2233"/>
      <sz val="10"/>
    </font>
    <font>
      <name val="Calibri"/>
      <b val="1"/>
      <color rgb="001A2233"/>
      <sz val="10"/>
    </font>
    <font>
      <name val="Calibri"/>
      <b val="1"/>
      <color rgb="001A2233"/>
      <sz val="12"/>
    </font>
    <font>
      <name val="Calibri"/>
      <b val="1"/>
      <color rgb="00FFFFFF"/>
      <sz val="9"/>
    </font>
    <font>
      <name val="Calibri"/>
      <b val="1"/>
      <color rgb="001B2A4A"/>
      <sz val="16"/>
    </font>
    <font>
      <name val="Calibri"/>
      <i val="1"/>
      <color rgb="005B6472"/>
      <sz val="10"/>
    </font>
    <font>
      <name val="Calibri"/>
      <b val="1"/>
      <color rgb="002E6FA3"/>
      <sz val="11"/>
    </font>
    <font>
      <name val="Calibri"/>
      <b val="1"/>
      <color rgb="00E8792E"/>
      <sz val="11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E8792E"/>
      </patternFill>
    </fill>
    <fill>
      <patternFill patternType="solid">
        <fgColor rgb="00FFFFFF"/>
      </patternFill>
    </fill>
    <fill>
      <patternFill patternType="solid">
        <fgColor rgb="002E6FA3"/>
      </patternFill>
    </fill>
    <fill>
      <patternFill patternType="solid">
        <fgColor rgb="00F4F6F9"/>
      </patternFill>
    </fill>
    <fill>
      <patternFill patternType="solid">
        <fgColor rgb="0094A3B8"/>
      </patternFill>
    </fill>
    <fill>
      <patternFill patternType="solid">
        <fgColor rgb="00E8A93A"/>
      </patternFill>
    </fill>
    <fill>
      <patternFill patternType="solid">
        <fgColor rgb="00D6483F"/>
      </patternFill>
    </fill>
    <fill>
      <patternFill patternType="solid">
        <fgColor rgb="002E9E6D"/>
      </patternFill>
    </fill>
  </fills>
  <borders count="8">
    <border>
      <left/>
      <right/>
      <top/>
      <bottom/>
      <diagonal/>
    </border>
    <border>
      <left style="thin">
        <color rgb="00D7DCE3"/>
      </left>
      <top style="thick">
        <color rgb="002E6FA3"/>
      </top>
    </border>
    <border>
      <right style="thin">
        <color rgb="00D7DCE3"/>
      </right>
      <top style="thick">
        <color rgb="002E6FA3"/>
      </top>
    </border>
    <border>
      <left style="thin">
        <color rgb="00D7DCE3"/>
      </left>
      <bottom style="thin">
        <color rgb="00D7DCE3"/>
      </bottom>
    </border>
    <border>
      <right style="thin">
        <color rgb="00D7DCE3"/>
      </right>
      <bottom style="thin">
        <color rgb="00D7DCE3"/>
      </bottom>
    </border>
    <border>
      <left style="thin">
        <color rgb="00D7DCE3"/>
      </left>
      <top style="thick">
        <color rgb="00E8792E"/>
      </top>
    </border>
    <border>
      <right style="thin">
        <color rgb="00D7DCE3"/>
      </right>
      <top style="thick">
        <color rgb="00E8792E"/>
      </top>
    </border>
    <border>
      <left style="thin">
        <color rgb="00D7DCE3"/>
      </left>
      <right style="thin">
        <color rgb="00D7DCE3"/>
      </right>
      <top style="thin">
        <color rgb="00D7DCE3"/>
      </top>
      <bottom style="thin">
        <color rgb="00D7DCE3"/>
      </bottom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0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0" fillId="3" borderId="0" pivotButton="0" quotePrefix="0" xfId="0"/>
    <xf numFmtId="0" fontId="1" fillId="4" borderId="1" applyAlignment="1" pivotButton="0" quotePrefix="0" xfId="0">
      <alignment horizontal="left" vertical="center" indent="1"/>
    </xf>
    <xf numFmtId="0" fontId="0" fillId="4" borderId="2" pivotButton="0" quotePrefix="0" xfId="0"/>
    <xf numFmtId="1" fontId="2" fillId="4" borderId="0" applyAlignment="1" pivotButton="0" quotePrefix="0" xfId="0">
      <alignment horizontal="left" vertical="center" indent="1"/>
    </xf>
    <xf numFmtId="0" fontId="0" fillId="4" borderId="0" pivotButton="0" quotePrefix="0" xfId="0"/>
    <xf numFmtId="0" fontId="3" fillId="4" borderId="3" applyAlignment="1" pivotButton="0" quotePrefix="0" xfId="0">
      <alignment horizontal="left" vertical="top" wrapText="1" indent="1"/>
    </xf>
    <xf numFmtId="0" fontId="0" fillId="4" borderId="4" pivotButton="0" quotePrefix="0" xfId="0"/>
    <xf numFmtId="0" fontId="1" fillId="4" borderId="5" applyAlignment="1" pivotButton="0" quotePrefix="0" xfId="0">
      <alignment horizontal="left" vertical="center" indent="1"/>
    </xf>
    <xf numFmtId="0" fontId="0" fillId="4" borderId="6" pivotButton="0" quotePrefix="0" xfId="0"/>
    <xf numFmtId="0" fontId="4" fillId="4" borderId="3" applyAlignment="1" pivotButton="0" quotePrefix="0" xfId="0">
      <alignment horizontal="left" vertical="top" wrapText="1" indent="1"/>
    </xf>
    <xf numFmtId="0" fontId="5" fillId="0" borderId="0" pivotButton="0" quotePrefix="0" xfId="0"/>
    <xf numFmtId="0" fontId="6" fillId="0" borderId="0" pivotButton="0" quotePrefix="0" xfId="0"/>
    <xf numFmtId="0" fontId="7" fillId="2" borderId="7" applyAlignment="1" pivotButton="0" quotePrefix="0" xfId="0">
      <alignment horizontal="center" vertical="center" wrapText="1"/>
    </xf>
    <xf numFmtId="0" fontId="8" fillId="0" borderId="7" applyAlignment="1" pivotButton="0" quotePrefix="0" xfId="0">
      <alignment horizontal="center" vertical="center"/>
    </xf>
    <xf numFmtId="0" fontId="8" fillId="0" borderId="7" applyAlignment="1" pivotButton="0" quotePrefix="0" xfId="0">
      <alignment horizontal="left" vertical="center"/>
    </xf>
    <xf numFmtId="9" fontId="8" fillId="0" borderId="7" applyAlignment="1" pivotButton="0" quotePrefix="0" xfId="0">
      <alignment horizontal="center" vertical="center"/>
    </xf>
    <xf numFmtId="165" fontId="8" fillId="0" borderId="7" applyAlignment="1" pivotButton="0" quotePrefix="0" xfId="0">
      <alignment horizontal="center" vertical="center"/>
    </xf>
    <xf numFmtId="0" fontId="8" fillId="0" borderId="7" applyAlignment="1" pivotButton="0" quotePrefix="0" xfId="0">
      <alignment horizontal="left" vertical="center" wrapText="1"/>
    </xf>
    <xf numFmtId="0" fontId="7" fillId="5" borderId="7" applyAlignment="1" pivotButton="0" quotePrefix="0" xfId="0">
      <alignment horizontal="center" vertical="center" wrapText="1"/>
    </xf>
    <xf numFmtId="0" fontId="7" fillId="3" borderId="7" applyAlignment="1" pivotButton="0" quotePrefix="0" xfId="0">
      <alignment horizontal="center" vertical="center" wrapText="1"/>
    </xf>
    <xf numFmtId="0" fontId="9" fillId="4" borderId="7" applyAlignment="1" pivotButton="0" quotePrefix="0" xfId="0">
      <alignment horizontal="left" vertical="center"/>
    </xf>
    <xf numFmtId="0" fontId="8" fillId="4" borderId="7" applyAlignment="1" pivotButton="0" quotePrefix="0" xfId="0">
      <alignment horizontal="center" vertical="center"/>
    </xf>
    <xf numFmtId="0" fontId="10" fillId="4" borderId="7" applyAlignment="1" pivotButton="0" quotePrefix="0" xfId="0">
      <alignment horizontal="center" vertical="center"/>
    </xf>
    <xf numFmtId="0" fontId="9" fillId="6" borderId="7" applyAlignment="1" pivotButton="0" quotePrefix="0" xfId="0">
      <alignment horizontal="left" vertical="center"/>
    </xf>
    <xf numFmtId="0" fontId="8" fillId="6" borderId="7" applyAlignment="1" pivotButton="0" quotePrefix="0" xfId="0">
      <alignment horizontal="center" vertical="center"/>
    </xf>
    <xf numFmtId="0" fontId="10" fillId="6" borderId="7" applyAlignment="1" pivotButton="0" quotePrefix="0" xfId="0">
      <alignment horizontal="center" vertical="center"/>
    </xf>
    <xf numFmtId="0" fontId="9" fillId="0" borderId="0" pivotButton="0" quotePrefix="0" xfId="0"/>
    <xf numFmtId="0" fontId="11" fillId="7" borderId="0" applyAlignment="1" pivotButton="0" quotePrefix="0" xfId="0">
      <alignment horizontal="left" vertical="center"/>
    </xf>
    <xf numFmtId="0" fontId="11" fillId="5" borderId="0" applyAlignment="1" pivotButton="0" quotePrefix="0" xfId="0">
      <alignment horizontal="left" vertical="center"/>
    </xf>
    <xf numFmtId="0" fontId="11" fillId="8" borderId="0" applyAlignment="1" pivotButton="0" quotePrefix="0" xfId="0">
      <alignment horizontal="left" vertical="center"/>
    </xf>
    <xf numFmtId="0" fontId="11" fillId="9" borderId="0" applyAlignment="1" pivotButton="0" quotePrefix="0" xfId="0">
      <alignment horizontal="left" vertical="center"/>
    </xf>
    <xf numFmtId="0" fontId="11" fillId="10" borderId="0" applyAlignment="1" pivotButton="0" quotePrefix="0" xfId="0">
      <alignment horizontal="left" vertical="center"/>
    </xf>
    <xf numFmtId="0" fontId="12" fillId="0" borderId="0" pivotButton="0" quotePrefix="0" xfId="0"/>
    <xf numFmtId="0" fontId="13" fillId="0" borderId="0" pivotButton="0" quotePrefix="0" xfId="0"/>
    <xf numFmtId="0" fontId="14" fillId="4" borderId="7" applyAlignment="1" pivotButton="0" quotePrefix="0" xfId="0">
      <alignment horizontal="center" vertical="center"/>
    </xf>
    <xf numFmtId="0" fontId="9" fillId="4" borderId="7" applyAlignment="1" pivotButton="0" quotePrefix="0" xfId="0">
      <alignment horizontal="left" vertical="center" wrapText="1"/>
    </xf>
    <xf numFmtId="0" fontId="8" fillId="4" borderId="7" applyAlignment="1" pivotButton="0" quotePrefix="0" xfId="0">
      <alignment horizontal="left" vertical="center" wrapText="1"/>
    </xf>
    <xf numFmtId="0" fontId="14" fillId="6" borderId="7" applyAlignment="1" pivotButton="0" quotePrefix="0" xfId="0">
      <alignment horizontal="center" vertical="center"/>
    </xf>
    <xf numFmtId="0" fontId="9" fillId="6" borderId="7" applyAlignment="1" pivotButton="0" quotePrefix="0" xfId="0">
      <alignment horizontal="left" vertical="center" wrapText="1"/>
    </xf>
    <xf numFmtId="0" fontId="8" fillId="6" borderId="7" applyAlignment="1" pivotButton="0" quotePrefix="0" xfId="0">
      <alignment horizontal="left" vertical="center" wrapText="1"/>
    </xf>
    <xf numFmtId="0" fontId="15" fillId="4" borderId="7" applyAlignment="1" pivotButton="0" quotePrefix="0" xfId="0">
      <alignment horizontal="center" vertical="center"/>
    </xf>
    <xf numFmtId="0" fontId="15" fillId="6" borderId="7" applyAlignment="1" pivotButton="0" quotePrefix="0" xfId="0">
      <alignment horizontal="center" vertical="center"/>
    </xf>
  </cellXfs>
  <cellStyles count="1">
    <cellStyle name="Normal" xfId="0" builtinId="0" hidden="0"/>
  </cellStyles>
  <dxfs count="10">
    <dxf>
      <font>
        <name val="Calibri"/>
        <b val="1"/>
        <color rgb="00FFFFFF"/>
        <sz val="10"/>
      </font>
      <fill>
        <patternFill patternType="solid">
          <fgColor rgb="0094A3B8"/>
        </patternFill>
      </fill>
    </dxf>
    <dxf>
      <font>
        <name val="Calibri"/>
        <b val="1"/>
        <color rgb="00FFFFFF"/>
        <sz val="10"/>
      </font>
      <fill>
        <patternFill patternType="solid">
          <fgColor rgb="002E6FA3"/>
        </patternFill>
      </fill>
    </dxf>
    <dxf>
      <font>
        <name val="Calibri"/>
        <b val="1"/>
        <color rgb="00FFFFFF"/>
        <sz val="10"/>
      </font>
      <fill>
        <patternFill patternType="solid">
          <fgColor rgb="00E8A93A"/>
        </patternFill>
      </fill>
    </dxf>
    <dxf>
      <font>
        <name val="Calibri"/>
        <b val="1"/>
        <color rgb="00FFFFFF"/>
        <sz val="10"/>
      </font>
      <fill>
        <patternFill patternType="solid">
          <fgColor rgb="00D6483F"/>
        </patternFill>
      </fill>
    </dxf>
    <dxf>
      <font>
        <name val="Calibri"/>
        <b val="1"/>
        <color rgb="00FFFFFF"/>
        <sz val="10"/>
      </font>
      <fill>
        <patternFill patternType="solid">
          <fgColor rgb="002E9E6D"/>
        </patternFill>
      </fill>
    </dxf>
    <dxf>
      <font>
        <name val="Calibri"/>
        <b val="1"/>
        <color rgb="00FFFFFF"/>
        <sz val="12"/>
      </font>
      <fill>
        <patternFill patternType="solid">
          <fgColor rgb="0094A3B8"/>
        </patternFill>
      </fill>
    </dxf>
    <dxf>
      <font>
        <name val="Calibri"/>
        <b val="1"/>
        <color rgb="00FFFFFF"/>
        <sz val="12"/>
      </font>
      <fill>
        <patternFill patternType="solid">
          <fgColor rgb="002E6FA3"/>
        </patternFill>
      </fill>
    </dxf>
    <dxf>
      <font>
        <name val="Calibri"/>
        <b val="1"/>
        <color rgb="00FFFFFF"/>
        <sz val="12"/>
      </font>
      <fill>
        <patternFill patternType="solid">
          <fgColor rgb="00E8A93A"/>
        </patternFill>
      </fill>
    </dxf>
    <dxf>
      <font>
        <name val="Calibri"/>
        <b val="1"/>
        <color rgb="00FFFFFF"/>
        <sz val="12"/>
      </font>
      <fill>
        <patternFill patternType="solid">
          <fgColor rgb="00D6483F"/>
        </patternFill>
      </fill>
    </dxf>
    <dxf>
      <font>
        <name val="Calibri"/>
        <b val="1"/>
        <color rgb="00FFFFFF"/>
        <sz val="12"/>
      </font>
      <fill>
        <patternFill patternType="solid">
          <fgColor rgb="002E9E6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Metrolink DTW</author>
  </authors>
  <commentList>
    <comment ref="D41" authorId="0" shapeId="0">
      <text>
        <t>Stage 0: Design Development
(Design Development → Tender)</t>
      </text>
    </comment>
    <comment ref="E41" authorId="0" shapeId="0">
      <text>
        <t>Stage 1: Pre-IDC Pack Issued
(Design Development → Tender)</t>
      </text>
    </comment>
    <comment ref="F41" authorId="0" shapeId="0">
      <text>
        <t>Stage 2: IDC
(Design Development → Tender)</t>
      </text>
    </comment>
    <comment ref="G41" authorId="0" shapeId="0">
      <text>
        <t>Stage 3: Full ITT Pack Issued – Rev 01
(Design Development → Tender)</t>
      </text>
    </comment>
    <comment ref="H41" authorId="0" shapeId="0">
      <text>
        <t>Stage 4: TII Instruction to Issue C01
(Design Development → Tender)</t>
      </text>
    </comment>
    <comment ref="I41" authorId="0" shapeId="0">
      <text>
        <t>Stage 5: AWDS C01 Submission
(Design Development → Tender)</t>
      </text>
    </comment>
    <comment ref="J41" authorId="0" shapeId="0">
      <text>
        <t>Stage 6: Ready for Tender
(Design Development → Tender)</t>
      </text>
    </comment>
    <comment ref="K41" authorId="0" shapeId="0">
      <text>
        <t>Stage 7: ITT Issue Date
(Design Development → Tender)</t>
      </text>
    </comment>
    <comment ref="L41" authorId="0" shapeId="0">
      <text>
        <t>Stage 8: Tender Period
(Procurement &amp; Award)</t>
      </text>
    </comment>
    <comment ref="M41" authorId="0" shapeId="0">
      <text>
        <t>Stage 9: ITT Award
(Procurement &amp; Award)</t>
      </text>
    </comment>
    <comment ref="N41" authorId="0" shapeId="0">
      <text>
        <t>Stage 10: Contract Award
(Procurement &amp; Award)</t>
      </text>
    </comment>
    <comment ref="O41" authorId="0" shapeId="0">
      <text>
        <t>Stage 11: Construction Start
(Procurement &amp; Award)</t>
      </text>
    </comment>
  </commentList>
</comments>
</file>

<file path=xl/tables/table1.xml><?xml version="1.0" encoding="utf-8"?>
<table xmlns="http://schemas.openxmlformats.org/spreadsheetml/2006/main" id="1" name="tblContracts" displayName="tblContracts" ref="B20:J36" headerRowCount="1">
  <autoFilter ref="B20:J36"/>
  <tableColumns count="9">
    <tableColumn id="2" name="Group"/>
    <tableColumn id="3" name="Contract"/>
    <tableColumn id="4" name="Stage No."/>
    <tableColumn id="5" name="DTW Stage"/>
    <tableColumn id="6" name="Phase"/>
    <tableColumn id="7" name="Status"/>
    <tableColumn id="8" name="Progress"/>
    <tableColumn id="9" name="Last Updated"/>
    <tableColumn id="10" name="Notes"/>
  </tableColumns>
  <tableStyleInfo name="TableStyleMedium2" showFirstColumn="0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V62"/>
  <sheetViews>
    <sheetView showGridLines="0" zoomScale="90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3" customWidth="1" min="2" max="2"/>
    <col width="12" customWidth="1" min="3" max="3"/>
    <col width="4.2" customWidth="1" min="4" max="4"/>
    <col width="4.2" customWidth="1" min="5" max="5"/>
    <col width="4.2" customWidth="1" min="6" max="6"/>
    <col width="4.2" customWidth="1" min="7" max="7"/>
    <col width="4.2" customWidth="1" min="8" max="8"/>
    <col width="4.2" customWidth="1" min="9" max="9"/>
    <col width="4.2" customWidth="1" min="10" max="10"/>
    <col width="4.2" customWidth="1" min="11" max="11"/>
    <col width="4.2" customWidth="1" min="12" max="12"/>
    <col width="4.2" customWidth="1" min="13" max="13"/>
    <col width="4.2" customWidth="1" min="14" max="14"/>
    <col width="4.2" customWidth="1" min="15" max="15"/>
    <col width="3" customWidth="1" min="16" max="16"/>
    <col width="3" customWidth="1" min="17" max="17"/>
    <col hidden="1" outlineLevel="1" width="16" customWidth="1" min="18" max="18"/>
    <col hidden="1" outlineLevel="1" width="16" customWidth="1" min="19" max="19"/>
    <col hidden="1" outlineLevel="1" width="16" customWidth="1" min="20" max="20"/>
    <col hidden="1" outlineLevel="1" width="16" customWidth="1" min="21" max="21"/>
    <col hidden="1" outlineLevel="1" width="16" customWidth="1" min="22" max="22"/>
  </cols>
  <sheetData>
    <row r="1">
      <c r="R1" t="inlineStr">
        <is>
          <t>StageNo</t>
        </is>
      </c>
      <c r="S1" t="inlineStr">
        <is>
          <t>StageName</t>
        </is>
      </c>
      <c r="T1" t="inlineStr">
        <is>
          <t>Phase</t>
        </is>
      </c>
      <c r="V1" t="inlineStr">
        <is>
          <t>Status</t>
        </is>
      </c>
    </row>
    <row r="2" ht="30" customHeight="1">
      <c r="B2" s="1" t="inlineStr">
        <is>
          <r>
            <rPr>
              <rFont val="Calibri"/>
              <b val="1"/>
              <color rgb="00D62B1F"/>
              <sz val="2400"/>
            </rPr>
            <t>METRO</t>
          </r>
          <r>
            <rPr>
              <rFont val="Calibri"/>
              <b val="1"/>
              <color rgb="00FFFFFF"/>
              <sz val="2400"/>
            </rPr>
            <t>LINK</t>
          </r>
        </is>
      </c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R2" t="n">
        <v>0</v>
      </c>
      <c r="S2" t="inlineStr">
        <is>
          <t>Design Development</t>
        </is>
      </c>
      <c r="T2" t="inlineStr">
        <is>
          <t>Design Development → Tender</t>
        </is>
      </c>
      <c r="V2" t="inlineStr">
        <is>
          <t>Not Started</t>
        </is>
      </c>
    </row>
    <row r="3" ht="12" customHeight="1"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R3" t="n">
        <v>1</v>
      </c>
      <c r="S3" t="inlineStr">
        <is>
          <t>Pre-IDC Pack Issued</t>
        </is>
      </c>
      <c r="T3" t="inlineStr">
        <is>
          <t>Design Development → Tender</t>
        </is>
      </c>
      <c r="V3" t="inlineStr">
        <is>
          <t>In Progress</t>
        </is>
      </c>
    </row>
    <row r="4" ht="24" customHeight="1">
      <c r="B4" s="1" t="inlineStr">
        <is>
          <r>
            <rPr>
              <rFont val="Calibri"/>
              <b val="1"/>
              <color rgb="00FFFFFF"/>
              <sz val="1400"/>
            </rPr>
            <t xml:space="preserve">Design-to-Tender Workflow  —  Pack Status Summary   </t>
          </r>
          <r>
            <rPr>
              <rFont val="Calibri"/>
              <i val="1"/>
              <color rgb="00E8792E"/>
              <sz val="1200"/>
            </rPr>
            <t>(02 July 2026)</t>
          </r>
        </is>
      </c>
      <c r="C4" s="2" t="n"/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R4" t="n">
        <v>2</v>
      </c>
      <c r="S4" t="inlineStr">
        <is>
          <t>IDC</t>
        </is>
      </c>
      <c r="T4" t="inlineStr">
        <is>
          <t>Design Development → Tender</t>
        </is>
      </c>
      <c r="V4" t="inlineStr">
        <is>
          <t>At Risk</t>
        </is>
      </c>
    </row>
    <row r="5" ht="10" customHeight="1">
      <c r="B5" s="2" t="n"/>
      <c r="C5" s="2" t="n"/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R5" t="n">
        <v>3</v>
      </c>
      <c r="S5" t="inlineStr">
        <is>
          <t>Full ITT Pack Issued – Rev 01</t>
        </is>
      </c>
      <c r="T5" t="inlineStr">
        <is>
          <t>Design Development → Tender</t>
        </is>
      </c>
      <c r="V5" t="inlineStr">
        <is>
          <t>Delayed</t>
        </is>
      </c>
    </row>
    <row r="6" ht="5" customHeight="1">
      <c r="B6" s="3" t="n"/>
      <c r="R6" t="n">
        <v>4</v>
      </c>
      <c r="S6" t="inlineStr">
        <is>
          <t>TII Instruction to Issue C01</t>
        </is>
      </c>
      <c r="T6" t="inlineStr">
        <is>
          <t>Design Development → Tender</t>
        </is>
      </c>
      <c r="V6" t="inlineStr">
        <is>
          <t>Complete</t>
        </is>
      </c>
    </row>
    <row r="7" ht="6" customHeight="1">
      <c r="R7" t="n">
        <v>5</v>
      </c>
      <c r="S7" t="inlineStr">
        <is>
          <t>AWDS C01 Submission</t>
        </is>
      </c>
      <c r="T7" t="inlineStr">
        <is>
          <t>Design Development → Tender</t>
        </is>
      </c>
    </row>
    <row r="8" ht="16" customHeight="1">
      <c r="B8" s="4" t="inlineStr">
        <is>
          <t>STAGE 0</t>
        </is>
      </c>
      <c r="C8" s="5" t="n"/>
      <c r="D8" s="4" t="inlineStr">
        <is>
          <t>STAGE 1</t>
        </is>
      </c>
      <c r="E8" s="5" t="n"/>
      <c r="F8" s="4" t="inlineStr">
        <is>
          <t>STAGE 2</t>
        </is>
      </c>
      <c r="G8" s="5" t="n"/>
      <c r="H8" s="4" t="inlineStr">
        <is>
          <t>STAGE 3</t>
        </is>
      </c>
      <c r="I8" s="5" t="n"/>
      <c r="J8" s="4" t="inlineStr">
        <is>
          <t>STAGE 4</t>
        </is>
      </c>
      <c r="K8" s="5" t="n"/>
      <c r="L8" s="4" t="inlineStr">
        <is>
          <t>STAGE 5</t>
        </is>
      </c>
      <c r="M8" s="5" t="n"/>
      <c r="R8" t="n">
        <v>6</v>
      </c>
      <c r="S8" t="inlineStr">
        <is>
          <t>Ready for Tender</t>
        </is>
      </c>
      <c r="T8" t="inlineStr">
        <is>
          <t>Design Development → Tender</t>
        </is>
      </c>
    </row>
    <row r="9" ht="22" customHeight="1">
      <c r="B9" s="6">
        <f>COUNTIF(tblContracts[Stage No.],0)</f>
        <v/>
      </c>
      <c r="C9" s="7" t="n"/>
      <c r="D9" s="6">
        <f>COUNTIF(tblContracts[Stage No.],1)</f>
        <v/>
      </c>
      <c r="E9" s="7" t="n"/>
      <c r="F9" s="6">
        <f>COUNTIF(tblContracts[Stage No.],2)</f>
        <v/>
      </c>
      <c r="G9" s="7" t="n"/>
      <c r="H9" s="6">
        <f>COUNTIF(tblContracts[Stage No.],3)</f>
        <v/>
      </c>
      <c r="I9" s="7" t="n"/>
      <c r="J9" s="6">
        <f>COUNTIF(tblContracts[Stage No.],4)</f>
        <v/>
      </c>
      <c r="K9" s="7" t="n"/>
      <c r="L9" s="6">
        <f>COUNTIF(tblContracts[Stage No.],5)</f>
        <v/>
      </c>
      <c r="M9" s="7" t="n"/>
      <c r="R9" t="n">
        <v>7</v>
      </c>
      <c r="S9" t="inlineStr">
        <is>
          <t>ITT Issue Date</t>
        </is>
      </c>
      <c r="T9" t="inlineStr">
        <is>
          <t>Design Development → Tender</t>
        </is>
      </c>
    </row>
    <row r="10" ht="8" customHeight="1">
      <c r="B10" s="7" t="n"/>
      <c r="C10" s="7" t="n"/>
      <c r="D10" s="7" t="n"/>
      <c r="E10" s="7" t="n"/>
      <c r="F10" s="7" t="n"/>
      <c r="G10" s="7" t="n"/>
      <c r="H10" s="7" t="n"/>
      <c r="I10" s="7" t="n"/>
      <c r="J10" s="7" t="n"/>
      <c r="K10" s="7" t="n"/>
      <c r="L10" s="7" t="n"/>
      <c r="M10" s="7" t="n"/>
      <c r="R10" t="n">
        <v>8</v>
      </c>
      <c r="S10" t="inlineStr">
        <is>
          <t>Tender Period</t>
        </is>
      </c>
      <c r="T10" t="inlineStr">
        <is>
          <t>Procurement &amp; Award</t>
        </is>
      </c>
    </row>
    <row r="11" ht="26" customHeight="1">
      <c r="B11" s="8" t="inlineStr">
        <is>
          <t>Design Development</t>
        </is>
      </c>
      <c r="C11" s="9" t="n"/>
      <c r="D11" s="8" t="inlineStr">
        <is>
          <t>Pre-IDC Pack Issued</t>
        </is>
      </c>
      <c r="E11" s="9" t="n"/>
      <c r="F11" s="8" t="inlineStr">
        <is>
          <t>IDC</t>
        </is>
      </c>
      <c r="G11" s="9" t="n"/>
      <c r="H11" s="8" t="inlineStr">
        <is>
          <t>Full ITT Pack Issued – Rev 01</t>
        </is>
      </c>
      <c r="I11" s="9" t="n"/>
      <c r="J11" s="8" t="inlineStr">
        <is>
          <t>TII Instruction to Issue C01</t>
        </is>
      </c>
      <c r="K11" s="9" t="n"/>
      <c r="L11" s="8" t="inlineStr">
        <is>
          <t>AWDS C01 Submission</t>
        </is>
      </c>
      <c r="M11" s="9" t="n"/>
      <c r="R11" t="n">
        <v>9</v>
      </c>
      <c r="S11" t="inlineStr">
        <is>
          <t>ITT Award</t>
        </is>
      </c>
      <c r="T11" t="inlineStr">
        <is>
          <t>Procurement &amp; Award</t>
        </is>
      </c>
    </row>
    <row r="12" ht="8" customHeight="1">
      <c r="R12" t="n">
        <v>10</v>
      </c>
      <c r="S12" t="inlineStr">
        <is>
          <t>Contract Award</t>
        </is>
      </c>
      <c r="T12" t="inlineStr">
        <is>
          <t>Procurement &amp; Award</t>
        </is>
      </c>
    </row>
    <row r="13" ht="16" customHeight="1">
      <c r="B13" s="4" t="inlineStr">
        <is>
          <t>STAGE 6</t>
        </is>
      </c>
      <c r="C13" s="5" t="n"/>
      <c r="D13" s="4" t="inlineStr">
        <is>
          <t>STAGE 7</t>
        </is>
      </c>
      <c r="E13" s="5" t="n"/>
      <c r="F13" s="10" t="inlineStr">
        <is>
          <t>STAGE 8</t>
        </is>
      </c>
      <c r="G13" s="11" t="n"/>
      <c r="H13" s="10" t="inlineStr">
        <is>
          <t>STAGE 9</t>
        </is>
      </c>
      <c r="I13" s="11" t="n"/>
      <c r="J13" s="10" t="inlineStr">
        <is>
          <t>STAGE 10</t>
        </is>
      </c>
      <c r="K13" s="11" t="n"/>
      <c r="L13" s="10" t="inlineStr">
        <is>
          <t>STAGE 11</t>
        </is>
      </c>
      <c r="M13" s="11" t="n"/>
      <c r="R13" t="n">
        <v>11</v>
      </c>
      <c r="S13" t="inlineStr">
        <is>
          <t>Construction Start</t>
        </is>
      </c>
      <c r="T13" t="inlineStr">
        <is>
          <t>Procurement &amp; Award</t>
        </is>
      </c>
    </row>
    <row r="14" ht="22" customHeight="1">
      <c r="B14" s="6">
        <f>COUNTIF(tblContracts[Stage No.],6)</f>
        <v/>
      </c>
      <c r="C14" s="7" t="n"/>
      <c r="D14" s="6">
        <f>COUNTIF(tblContracts[Stage No.],7)</f>
        <v/>
      </c>
      <c r="E14" s="7" t="n"/>
      <c r="F14" s="6">
        <f>COUNTIF(tblContracts[Stage No.],8)</f>
        <v/>
      </c>
      <c r="G14" s="7" t="n"/>
      <c r="H14" s="6">
        <f>COUNTIF(tblContracts[Stage No.],9)</f>
        <v/>
      </c>
      <c r="I14" s="7" t="n"/>
      <c r="J14" s="6">
        <f>COUNTIF(tblContracts[Stage No.],10)</f>
        <v/>
      </c>
      <c r="K14" s="7" t="n"/>
      <c r="L14" s="6">
        <f>COUNTIF(tblContracts[Stage No.],11)</f>
        <v/>
      </c>
      <c r="M14" s="7" t="n"/>
    </row>
    <row r="15" ht="8" customHeight="1">
      <c r="B15" s="7" t="n"/>
      <c r="C15" s="7" t="n"/>
      <c r="D15" s="7" t="n"/>
      <c r="E15" s="7" t="n"/>
      <c r="F15" s="7" t="n"/>
      <c r="G15" s="7" t="n"/>
      <c r="H15" s="7" t="n"/>
      <c r="I15" s="7" t="n"/>
      <c r="J15" s="7" t="n"/>
      <c r="K15" s="7" t="n"/>
      <c r="L15" s="7" t="n"/>
      <c r="M15" s="7" t="n"/>
    </row>
    <row r="16" ht="26" customHeight="1">
      <c r="B16" s="8" t="inlineStr">
        <is>
          <t>Ready for Tender</t>
        </is>
      </c>
      <c r="C16" s="9" t="n"/>
      <c r="D16" s="8" t="inlineStr">
        <is>
          <t>ITT Issue Date</t>
        </is>
      </c>
      <c r="E16" s="9" t="n"/>
      <c r="F16" s="12" t="inlineStr">
        <is>
          <t>Tender Period</t>
        </is>
      </c>
      <c r="G16" s="9" t="n"/>
      <c r="H16" s="12" t="inlineStr">
        <is>
          <t>ITT Award</t>
        </is>
      </c>
      <c r="I16" s="9" t="n"/>
      <c r="J16" s="12" t="inlineStr">
        <is>
          <t>Contract Award</t>
        </is>
      </c>
      <c r="K16" s="9" t="n"/>
      <c r="L16" s="12" t="inlineStr">
        <is>
          <t>Construction Start</t>
        </is>
      </c>
      <c r="M16" s="9" t="n"/>
    </row>
    <row r="17" ht="10" customHeight="1"/>
    <row r="18">
      <c r="B18" s="13" t="inlineStr">
        <is>
          <t>Contract Tracker — All Contracts</t>
        </is>
      </c>
    </row>
    <row r="19">
      <c r="B19" s="14" t="inlineStr">
        <is>
          <t>Select a Stage No. and Status for every contract, DTW and Framework alike — the stage summary above updates automatically.</t>
        </is>
      </c>
    </row>
    <row r="20">
      <c r="B20" s="15" t="inlineStr">
        <is>
          <t>Group</t>
        </is>
      </c>
      <c r="C20" s="15" t="inlineStr">
        <is>
          <t>Contract</t>
        </is>
      </c>
      <c r="D20" s="15" t="inlineStr">
        <is>
          <t>Stage No.</t>
        </is>
      </c>
      <c r="E20" s="15" t="inlineStr">
        <is>
          <t>DTW Stage</t>
        </is>
      </c>
      <c r="F20" s="15" t="inlineStr">
        <is>
          <t>Phase</t>
        </is>
      </c>
      <c r="G20" s="15" t="inlineStr">
        <is>
          <t>Status</t>
        </is>
      </c>
      <c r="H20" s="15" t="inlineStr">
        <is>
          <t>Progress</t>
        </is>
      </c>
      <c r="I20" s="15" t="inlineStr">
        <is>
          <t>Last Updated</t>
        </is>
      </c>
      <c r="J20" s="15" t="inlineStr">
        <is>
          <t>Notes</t>
        </is>
      </c>
    </row>
    <row r="21">
      <c r="B21" s="16" t="inlineStr">
        <is>
          <t>M14</t>
        </is>
      </c>
      <c r="C21" s="16" t="inlineStr">
        <is>
          <t>M140</t>
        </is>
      </c>
      <c r="D21" s="16" t="n">
        <v>5</v>
      </c>
      <c r="E21" s="17">
        <f>IFERROR(VLOOKUP($D21,$R$2:$T$13,2,FALSE),"—")</f>
        <v/>
      </c>
      <c r="F21" s="17">
        <f>IFERROR(VLOOKUP($D21,$R$2:$T$13,3,FALSE),"—")</f>
        <v/>
      </c>
      <c r="G21" s="17" t="inlineStr">
        <is>
          <t>In Progress</t>
        </is>
      </c>
      <c r="H21" s="18">
        <f>$D21/11</f>
        <v/>
      </c>
      <c r="I21" s="19" t="n">
        <v>46202</v>
      </c>
      <c r="J21" s="20" t="inlineStr">
        <is>
          <t>AWDS C01 drawings submitted to TII for review</t>
        </is>
      </c>
    </row>
    <row r="22">
      <c r="B22" s="16" t="inlineStr">
        <is>
          <t>M14</t>
        </is>
      </c>
      <c r="C22" s="16" t="inlineStr">
        <is>
          <t>M141</t>
        </is>
      </c>
      <c r="D22" s="16" t="n">
        <v>1</v>
      </c>
      <c r="E22" s="17">
        <f>IFERROR(VLOOKUP($D22,$R$2:$T$13,2,FALSE),"—")</f>
        <v/>
      </c>
      <c r="F22" s="17">
        <f>IFERROR(VLOOKUP($D22,$R$2:$T$13,3,FALSE),"—")</f>
        <v/>
      </c>
      <c r="G22" s="17" t="inlineStr">
        <is>
          <t>In Progress</t>
        </is>
      </c>
      <c r="H22" s="18">
        <f>$D22/11</f>
        <v/>
      </c>
      <c r="I22" s="19" t="n">
        <v>46198</v>
      </c>
      <c r="J22" s="20" t="inlineStr">
        <is>
          <t>Preparing for IDC review</t>
        </is>
      </c>
    </row>
    <row r="23">
      <c r="B23" s="16" t="inlineStr">
        <is>
          <t>M14</t>
        </is>
      </c>
      <c r="C23" s="16" t="inlineStr">
        <is>
          <t>M142</t>
        </is>
      </c>
      <c r="D23" s="16" t="n">
        <v>1</v>
      </c>
      <c r="E23" s="17">
        <f>IFERROR(VLOOKUP($D23,$R$2:$T$13,2,FALSE),"—")</f>
        <v/>
      </c>
      <c r="F23" s="17">
        <f>IFERROR(VLOOKUP($D23,$R$2:$T$13,3,FALSE),"—")</f>
        <v/>
      </c>
      <c r="G23" s="17" t="inlineStr">
        <is>
          <t>In Progress</t>
        </is>
      </c>
      <c r="H23" s="18">
        <f>$D23/11</f>
        <v/>
      </c>
      <c r="I23" s="19" t="n">
        <v>46198</v>
      </c>
      <c r="J23" s="20" t="inlineStr">
        <is>
          <t>Preparing for IDC review</t>
        </is>
      </c>
    </row>
    <row r="24">
      <c r="B24" s="16" t="inlineStr">
        <is>
          <t>M14</t>
        </is>
      </c>
      <c r="C24" s="16" t="inlineStr">
        <is>
          <t>M145</t>
        </is>
      </c>
      <c r="D24" s="16" t="n">
        <v>5</v>
      </c>
      <c r="E24" s="17">
        <f>IFERROR(VLOOKUP($D24,$R$2:$T$13,2,FALSE),"—")</f>
        <v/>
      </c>
      <c r="F24" s="17">
        <f>IFERROR(VLOOKUP($D24,$R$2:$T$13,3,FALSE),"—")</f>
        <v/>
      </c>
      <c r="G24" s="17" t="inlineStr">
        <is>
          <t>At Risk</t>
        </is>
      </c>
      <c r="H24" s="18">
        <f>$D24/11</f>
        <v/>
      </c>
      <c r="I24" s="19" t="n">
        <v>46203</v>
      </c>
      <c r="J24" s="20" t="inlineStr">
        <is>
          <t>AWDS resourcing constraint – monitor submission date</t>
        </is>
      </c>
    </row>
    <row r="25">
      <c r="B25" s="16" t="inlineStr">
        <is>
          <t>M14</t>
        </is>
      </c>
      <c r="C25" s="16" t="inlineStr">
        <is>
          <t>M146</t>
        </is>
      </c>
      <c r="D25" s="16" t="n">
        <v>1</v>
      </c>
      <c r="E25" s="17">
        <f>IFERROR(VLOOKUP($D25,$R$2:$T$13,2,FALSE),"—")</f>
        <v/>
      </c>
      <c r="F25" s="17">
        <f>IFERROR(VLOOKUP($D25,$R$2:$T$13,3,FALSE),"—")</f>
        <v/>
      </c>
      <c r="G25" s="17" t="inlineStr">
        <is>
          <t>In Progress</t>
        </is>
      </c>
      <c r="H25" s="18">
        <f>$D25/11</f>
        <v/>
      </c>
      <c r="I25" s="19" t="n">
        <v>46199</v>
      </c>
      <c r="J25" s="20" t="inlineStr">
        <is>
          <t>Preparing for IDC review</t>
        </is>
      </c>
    </row>
    <row r="26">
      <c r="B26" s="16" t="inlineStr">
        <is>
          <t>M14</t>
        </is>
      </c>
      <c r="C26" s="16" t="inlineStr">
        <is>
          <t>M147</t>
        </is>
      </c>
      <c r="D26" s="16" t="n">
        <v>3</v>
      </c>
      <c r="E26" s="17">
        <f>IFERROR(VLOOKUP($D26,$R$2:$T$13,2,FALSE),"—")</f>
        <v/>
      </c>
      <c r="F26" s="17">
        <f>IFERROR(VLOOKUP($D26,$R$2:$T$13,3,FALSE),"—")</f>
        <v/>
      </c>
      <c r="G26" s="17" t="inlineStr">
        <is>
          <t>Delayed</t>
        </is>
      </c>
      <c r="H26" s="18">
        <f>$D26/11</f>
        <v/>
      </c>
      <c r="I26" s="19" t="n">
        <v>46183</v>
      </c>
      <c r="J26" s="20" t="inlineStr">
        <is>
          <t>Rev 01 issued – awaiting TII instruction to issue C01</t>
        </is>
      </c>
    </row>
    <row r="27">
      <c r="B27" s="16" t="inlineStr">
        <is>
          <t>M14</t>
        </is>
      </c>
      <c r="C27" s="16" t="inlineStr">
        <is>
          <t>M190</t>
        </is>
      </c>
      <c r="D27" s="16" t="n">
        <v>3</v>
      </c>
      <c r="E27" s="17">
        <f>IFERROR(VLOOKUP($D27,$R$2:$T$13,2,FALSE),"—")</f>
        <v/>
      </c>
      <c r="F27" s="17">
        <f>IFERROR(VLOOKUP($D27,$R$2:$T$13,3,FALSE),"—")</f>
        <v/>
      </c>
      <c r="G27" s="17" t="inlineStr">
        <is>
          <t>In Progress</t>
        </is>
      </c>
      <c r="H27" s="18">
        <f>$D27/11</f>
        <v/>
      </c>
      <c r="I27" s="19" t="n">
        <v>46200</v>
      </c>
      <c r="J27" s="20" t="inlineStr">
        <is>
          <t>Full ITT pack issued at Rev 01</t>
        </is>
      </c>
    </row>
    <row r="28">
      <c r="B28" s="16" t="inlineStr">
        <is>
          <t>M13 &amp; M16</t>
        </is>
      </c>
      <c r="C28" s="16" t="inlineStr">
        <is>
          <t>M130</t>
        </is>
      </c>
      <c r="D28" s="16" t="n">
        <v>0</v>
      </c>
      <c r="E28" s="17">
        <f>IFERROR(VLOOKUP($D28,$R$2:$T$13,2,FALSE),"—")</f>
        <v/>
      </c>
      <c r="F28" s="17">
        <f>IFERROR(VLOOKUP($D28,$R$2:$T$13,3,FALSE),"—")</f>
        <v/>
      </c>
      <c r="G28" s="17" t="inlineStr">
        <is>
          <t>Not Started</t>
        </is>
      </c>
      <c r="H28" s="18">
        <f>$D28/11</f>
        <v/>
      </c>
      <c r="I28" s="19" t="n">
        <v>46193</v>
      </c>
      <c r="J28" s="20" t="inlineStr">
        <is>
          <t>Design pack in preparation</t>
        </is>
      </c>
    </row>
    <row r="29">
      <c r="B29" s="16" t="inlineStr">
        <is>
          <t>M13 &amp; M16</t>
        </is>
      </c>
      <c r="C29" s="16" t="inlineStr">
        <is>
          <t>M135</t>
        </is>
      </c>
      <c r="D29" s="16" t="n">
        <v>3</v>
      </c>
      <c r="E29" s="17">
        <f>IFERROR(VLOOKUP($D29,$R$2:$T$13,2,FALSE),"—")</f>
        <v/>
      </c>
      <c r="F29" s="17">
        <f>IFERROR(VLOOKUP($D29,$R$2:$T$13,3,FALSE),"—")</f>
        <v/>
      </c>
      <c r="G29" s="17" t="inlineStr">
        <is>
          <t>In Progress</t>
        </is>
      </c>
      <c r="H29" s="18">
        <f>$D29/11</f>
        <v/>
      </c>
      <c r="I29" s="19" t="n">
        <v>46201</v>
      </c>
      <c r="J29" s="20" t="inlineStr">
        <is>
          <t>Full ITT pack issued at Rev 01</t>
        </is>
      </c>
    </row>
    <row r="30">
      <c r="B30" s="16" t="inlineStr">
        <is>
          <t>M13 &amp; M16</t>
        </is>
      </c>
      <c r="C30" s="16" t="inlineStr">
        <is>
          <t>M138</t>
        </is>
      </c>
      <c r="D30" s="16" t="n">
        <v>0</v>
      </c>
      <c r="E30" s="17">
        <f>IFERROR(VLOOKUP($D30,$R$2:$T$13,2,FALSE),"—")</f>
        <v/>
      </c>
      <c r="F30" s="17">
        <f>IFERROR(VLOOKUP($D30,$R$2:$T$13,3,FALSE),"—")</f>
        <v/>
      </c>
      <c r="G30" s="17" t="inlineStr">
        <is>
          <t>Not Started</t>
        </is>
      </c>
      <c r="H30" s="18">
        <f>$D30/11</f>
        <v/>
      </c>
      <c r="I30" s="19" t="n">
        <v>46193</v>
      </c>
      <c r="J30" s="20" t="inlineStr">
        <is>
          <t>Design pack in preparation</t>
        </is>
      </c>
    </row>
    <row r="31">
      <c r="B31" s="16" t="inlineStr">
        <is>
          <t>M13 &amp; M16</t>
        </is>
      </c>
      <c r="C31" s="16" t="inlineStr">
        <is>
          <t>M160</t>
        </is>
      </c>
      <c r="D31" s="16" t="n">
        <v>0</v>
      </c>
      <c r="E31" s="17">
        <f>IFERROR(VLOOKUP($D31,$R$2:$T$13,2,FALSE),"—")</f>
        <v/>
      </c>
      <c r="F31" s="17">
        <f>IFERROR(VLOOKUP($D31,$R$2:$T$13,3,FALSE),"—")</f>
        <v/>
      </c>
      <c r="G31" s="17" t="inlineStr">
        <is>
          <t>Not Started</t>
        </is>
      </c>
      <c r="H31" s="18">
        <f>$D31/11</f>
        <v/>
      </c>
      <c r="I31" s="19" t="n">
        <v>46193</v>
      </c>
      <c r="J31" s="20" t="inlineStr">
        <is>
          <t>Design pack in preparation</t>
        </is>
      </c>
    </row>
    <row r="32">
      <c r="B32" s="16" t="inlineStr">
        <is>
          <t>M13 &amp; M16</t>
        </is>
      </c>
      <c r="C32" s="16" t="inlineStr">
        <is>
          <t>M161</t>
        </is>
      </c>
      <c r="D32" s="16" t="n">
        <v>0</v>
      </c>
      <c r="E32" s="17">
        <f>IFERROR(VLOOKUP($D32,$R$2:$T$13,2,FALSE),"—")</f>
        <v/>
      </c>
      <c r="F32" s="17">
        <f>IFERROR(VLOOKUP($D32,$R$2:$T$13,3,FALSE),"—")</f>
        <v/>
      </c>
      <c r="G32" s="17" t="inlineStr">
        <is>
          <t>At Risk</t>
        </is>
      </c>
      <c r="H32" s="18">
        <f>$D32/11</f>
        <v/>
      </c>
      <c r="I32" s="19" t="n">
        <v>46203</v>
      </c>
      <c r="J32" s="20" t="inlineStr">
        <is>
          <t>Start date at risk of slipping – awaiting design brief</t>
        </is>
      </c>
    </row>
    <row r="33">
      <c r="B33" s="16" t="inlineStr">
        <is>
          <t>Framework</t>
        </is>
      </c>
      <c r="C33" s="16" t="inlineStr">
        <is>
          <t>M11</t>
        </is>
      </c>
      <c r="D33" s="16" t="n">
        <v>11</v>
      </c>
      <c r="E33" s="17">
        <f>IFERROR(VLOOKUP($D33,$R$2:$T$13,2,FALSE),"—")</f>
        <v/>
      </c>
      <c r="F33" s="17">
        <f>IFERROR(VLOOKUP($D33,$R$2:$T$13,3,FALSE),"—")</f>
        <v/>
      </c>
      <c r="G33" s="17" t="inlineStr">
        <is>
          <t>In Progress</t>
        </is>
      </c>
      <c r="H33" s="18">
        <f>$D33/11</f>
        <v/>
      </c>
      <c r="I33" s="19" t="n">
        <v>46202</v>
      </c>
      <c r="J33" s="20" t="inlineStr">
        <is>
          <t>Framework contract – ongoing works; stage mapped to Construction Start</t>
        </is>
      </c>
    </row>
    <row r="34">
      <c r="B34" s="16" t="inlineStr">
        <is>
          <t>Framework</t>
        </is>
      </c>
      <c r="C34" s="16" t="inlineStr">
        <is>
          <t>Minor Works</t>
        </is>
      </c>
      <c r="D34" s="16" t="n">
        <v>11</v>
      </c>
      <c r="E34" s="17">
        <f>IFERROR(VLOOKUP($D34,$R$2:$T$13,2,FALSE),"—")</f>
        <v/>
      </c>
      <c r="F34" s="17">
        <f>IFERROR(VLOOKUP($D34,$R$2:$T$13,3,FALSE),"—")</f>
        <v/>
      </c>
      <c r="G34" s="17" t="inlineStr">
        <is>
          <t>In Progress</t>
        </is>
      </c>
      <c r="H34" s="18">
        <f>$D34/11</f>
        <v/>
      </c>
      <c r="I34" s="19" t="n">
        <v>46204</v>
      </c>
      <c r="J34" s="20" t="inlineStr">
        <is>
          <t>Framework contract – multiple work orders in progress across the network</t>
        </is>
      </c>
    </row>
    <row r="35">
      <c r="B35" s="16" t="inlineStr">
        <is>
          <t>Framework</t>
        </is>
      </c>
      <c r="C35" s="16" t="inlineStr">
        <is>
          <t>Baseline Monitoring</t>
        </is>
      </c>
      <c r="D35" s="16" t="n">
        <v>11</v>
      </c>
      <c r="E35" s="17">
        <f>IFERROR(VLOOKUP($D35,$R$2:$T$13,2,FALSE),"—")</f>
        <v/>
      </c>
      <c r="F35" s="17">
        <f>IFERROR(VLOOKUP($D35,$R$2:$T$13,3,FALSE),"—")</f>
        <v/>
      </c>
      <c r="G35" s="17" t="inlineStr">
        <is>
          <t>Complete</t>
        </is>
      </c>
      <c r="H35" s="18">
        <f>$D35/11</f>
        <v/>
      </c>
      <c r="I35" s="19" t="n">
        <v>46188</v>
      </c>
      <c r="J35" s="20" t="inlineStr">
        <is>
          <t>Framework contract – baseline survey complete, monitoring ongoing</t>
        </is>
      </c>
    </row>
    <row r="36">
      <c r="B36" s="16" t="inlineStr">
        <is>
          <t>Framework</t>
        </is>
      </c>
      <c r="C36" s="16" t="inlineStr">
        <is>
          <t>DAA</t>
        </is>
      </c>
      <c r="D36" s="16" t="n">
        <v>9</v>
      </c>
      <c r="E36" s="17">
        <f>IFERROR(VLOOKUP($D36,$R$2:$T$13,2,FALSE),"—")</f>
        <v/>
      </c>
      <c r="F36" s="17">
        <f>IFERROR(VLOOKUP($D36,$R$2:$T$13,3,FALSE),"—")</f>
        <v/>
      </c>
      <c r="G36" s="17" t="inlineStr">
        <is>
          <t>At Risk</t>
        </is>
      </c>
      <c r="H36" s="18">
        <f>$D36/11</f>
        <v/>
      </c>
      <c r="I36" s="19" t="n">
        <v>46203</v>
      </c>
      <c r="J36" s="20" t="inlineStr">
        <is>
          <t>Framework contract – awaiting access agreement sign-off before award</t>
        </is>
      </c>
    </row>
    <row r="39">
      <c r="B39" s="13" t="inlineStr">
        <is>
          <t>Stage Map — Where Every Contract Sits Today</t>
        </is>
      </c>
    </row>
    <row r="40">
      <c r="B40" s="14" t="inlineStr">
        <is>
          <t>Each marker shows a contract's current stage. Updates live from the table above.</t>
        </is>
      </c>
    </row>
    <row r="41">
      <c r="B41" s="15" t="inlineStr">
        <is>
          <t>Contract</t>
        </is>
      </c>
      <c r="C41" s="15" t="inlineStr">
        <is>
          <t>Group</t>
        </is>
      </c>
      <c r="D41" s="21" t="n">
        <v>0</v>
      </c>
      <c r="E41" s="21" t="n">
        <v>1</v>
      </c>
      <c r="F41" s="21" t="n">
        <v>2</v>
      </c>
      <c r="G41" s="21" t="n">
        <v>3</v>
      </c>
      <c r="H41" s="21" t="n">
        <v>4</v>
      </c>
      <c r="I41" s="21" t="n">
        <v>5</v>
      </c>
      <c r="J41" s="21" t="n">
        <v>6</v>
      </c>
      <c r="K41" s="21" t="n">
        <v>7</v>
      </c>
      <c r="L41" s="22" t="n">
        <v>8</v>
      </c>
      <c r="M41" s="22" t="n">
        <v>9</v>
      </c>
      <c r="N41" s="22" t="n">
        <v>10</v>
      </c>
      <c r="O41" s="22" t="n">
        <v>11</v>
      </c>
    </row>
    <row r="42">
      <c r="B42" s="23" t="inlineStr">
        <is>
          <t>M140</t>
        </is>
      </c>
      <c r="C42" s="24" t="inlineStr">
        <is>
          <t>M14</t>
        </is>
      </c>
      <c r="D42" s="25">
        <f>IF(VLOOKUP($B42,$C$21:$D$36,2,FALSE)=0,"●","")</f>
        <v/>
      </c>
      <c r="E42" s="25">
        <f>IF(VLOOKUP($B42,$C$21:$D$36,2,FALSE)=1,"●","")</f>
        <v/>
      </c>
      <c r="F42" s="25">
        <f>IF(VLOOKUP($B42,$C$21:$D$36,2,FALSE)=2,"●","")</f>
        <v/>
      </c>
      <c r="G42" s="25">
        <f>IF(VLOOKUP($B42,$C$21:$D$36,2,FALSE)=3,"●","")</f>
        <v/>
      </c>
      <c r="H42" s="25">
        <f>IF(VLOOKUP($B42,$C$21:$D$36,2,FALSE)=4,"●","")</f>
        <v/>
      </c>
      <c r="I42" s="25">
        <f>IF(VLOOKUP($B42,$C$21:$D$36,2,FALSE)=5,"●","")</f>
        <v/>
      </c>
      <c r="J42" s="25">
        <f>IF(VLOOKUP($B42,$C$21:$D$36,2,FALSE)=6,"●","")</f>
        <v/>
      </c>
      <c r="K42" s="25">
        <f>IF(VLOOKUP($B42,$C$21:$D$36,2,FALSE)=7,"●","")</f>
        <v/>
      </c>
      <c r="L42" s="25">
        <f>IF(VLOOKUP($B42,$C$21:$D$36,2,FALSE)=8,"●","")</f>
        <v/>
      </c>
      <c r="M42" s="25">
        <f>IF(VLOOKUP($B42,$C$21:$D$36,2,FALSE)=9,"●","")</f>
        <v/>
      </c>
      <c r="N42" s="25">
        <f>IF(VLOOKUP($B42,$C$21:$D$36,2,FALSE)=10,"●","")</f>
        <v/>
      </c>
      <c r="O42" s="25">
        <f>IF(VLOOKUP($B42,$C$21:$D$36,2,FALSE)=11,"●","")</f>
        <v/>
      </c>
    </row>
    <row r="43">
      <c r="B43" s="26" t="inlineStr">
        <is>
          <t>M141</t>
        </is>
      </c>
      <c r="C43" s="27" t="inlineStr">
        <is>
          <t>M14</t>
        </is>
      </c>
      <c r="D43" s="28">
        <f>IF(VLOOKUP($B43,$C$21:$D$36,2,FALSE)=0,"●","")</f>
        <v/>
      </c>
      <c r="E43" s="28">
        <f>IF(VLOOKUP($B43,$C$21:$D$36,2,FALSE)=1,"●","")</f>
        <v/>
      </c>
      <c r="F43" s="28">
        <f>IF(VLOOKUP($B43,$C$21:$D$36,2,FALSE)=2,"●","")</f>
        <v/>
      </c>
      <c r="G43" s="28">
        <f>IF(VLOOKUP($B43,$C$21:$D$36,2,FALSE)=3,"●","")</f>
        <v/>
      </c>
      <c r="H43" s="28">
        <f>IF(VLOOKUP($B43,$C$21:$D$36,2,FALSE)=4,"●","")</f>
        <v/>
      </c>
      <c r="I43" s="28">
        <f>IF(VLOOKUP($B43,$C$21:$D$36,2,FALSE)=5,"●","")</f>
        <v/>
      </c>
      <c r="J43" s="28">
        <f>IF(VLOOKUP($B43,$C$21:$D$36,2,FALSE)=6,"●","")</f>
        <v/>
      </c>
      <c r="K43" s="28">
        <f>IF(VLOOKUP($B43,$C$21:$D$36,2,FALSE)=7,"●","")</f>
        <v/>
      </c>
      <c r="L43" s="28">
        <f>IF(VLOOKUP($B43,$C$21:$D$36,2,FALSE)=8,"●","")</f>
        <v/>
      </c>
      <c r="M43" s="28">
        <f>IF(VLOOKUP($B43,$C$21:$D$36,2,FALSE)=9,"●","")</f>
        <v/>
      </c>
      <c r="N43" s="28">
        <f>IF(VLOOKUP($B43,$C$21:$D$36,2,FALSE)=10,"●","")</f>
        <v/>
      </c>
      <c r="O43" s="28">
        <f>IF(VLOOKUP($B43,$C$21:$D$36,2,FALSE)=11,"●","")</f>
        <v/>
      </c>
    </row>
    <row r="44">
      <c r="B44" s="23" t="inlineStr">
        <is>
          <t>M142</t>
        </is>
      </c>
      <c r="C44" s="24" t="inlineStr">
        <is>
          <t>M14</t>
        </is>
      </c>
      <c r="D44" s="25">
        <f>IF(VLOOKUP($B44,$C$21:$D$36,2,FALSE)=0,"●","")</f>
        <v/>
      </c>
      <c r="E44" s="25">
        <f>IF(VLOOKUP($B44,$C$21:$D$36,2,FALSE)=1,"●","")</f>
        <v/>
      </c>
      <c r="F44" s="25">
        <f>IF(VLOOKUP($B44,$C$21:$D$36,2,FALSE)=2,"●","")</f>
        <v/>
      </c>
      <c r="G44" s="25">
        <f>IF(VLOOKUP($B44,$C$21:$D$36,2,FALSE)=3,"●","")</f>
        <v/>
      </c>
      <c r="H44" s="25">
        <f>IF(VLOOKUP($B44,$C$21:$D$36,2,FALSE)=4,"●","")</f>
        <v/>
      </c>
      <c r="I44" s="25">
        <f>IF(VLOOKUP($B44,$C$21:$D$36,2,FALSE)=5,"●","")</f>
        <v/>
      </c>
      <c r="J44" s="25">
        <f>IF(VLOOKUP($B44,$C$21:$D$36,2,FALSE)=6,"●","")</f>
        <v/>
      </c>
      <c r="K44" s="25">
        <f>IF(VLOOKUP($B44,$C$21:$D$36,2,FALSE)=7,"●","")</f>
        <v/>
      </c>
      <c r="L44" s="25">
        <f>IF(VLOOKUP($B44,$C$21:$D$36,2,FALSE)=8,"●","")</f>
        <v/>
      </c>
      <c r="M44" s="25">
        <f>IF(VLOOKUP($B44,$C$21:$D$36,2,FALSE)=9,"●","")</f>
        <v/>
      </c>
      <c r="N44" s="25">
        <f>IF(VLOOKUP($B44,$C$21:$D$36,2,FALSE)=10,"●","")</f>
        <v/>
      </c>
      <c r="O44" s="25">
        <f>IF(VLOOKUP($B44,$C$21:$D$36,2,FALSE)=11,"●","")</f>
        <v/>
      </c>
    </row>
    <row r="45">
      <c r="B45" s="26" t="inlineStr">
        <is>
          <t>M145</t>
        </is>
      </c>
      <c r="C45" s="27" t="inlineStr">
        <is>
          <t>M14</t>
        </is>
      </c>
      <c r="D45" s="28">
        <f>IF(VLOOKUP($B45,$C$21:$D$36,2,FALSE)=0,"●","")</f>
        <v/>
      </c>
      <c r="E45" s="28">
        <f>IF(VLOOKUP($B45,$C$21:$D$36,2,FALSE)=1,"●","")</f>
        <v/>
      </c>
      <c r="F45" s="28">
        <f>IF(VLOOKUP($B45,$C$21:$D$36,2,FALSE)=2,"●","")</f>
        <v/>
      </c>
      <c r="G45" s="28">
        <f>IF(VLOOKUP($B45,$C$21:$D$36,2,FALSE)=3,"●","")</f>
        <v/>
      </c>
      <c r="H45" s="28">
        <f>IF(VLOOKUP($B45,$C$21:$D$36,2,FALSE)=4,"●","")</f>
        <v/>
      </c>
      <c r="I45" s="28">
        <f>IF(VLOOKUP($B45,$C$21:$D$36,2,FALSE)=5,"●","")</f>
        <v/>
      </c>
      <c r="J45" s="28">
        <f>IF(VLOOKUP($B45,$C$21:$D$36,2,FALSE)=6,"●","")</f>
        <v/>
      </c>
      <c r="K45" s="28">
        <f>IF(VLOOKUP($B45,$C$21:$D$36,2,FALSE)=7,"●","")</f>
        <v/>
      </c>
      <c r="L45" s="28">
        <f>IF(VLOOKUP($B45,$C$21:$D$36,2,FALSE)=8,"●","")</f>
        <v/>
      </c>
      <c r="M45" s="28">
        <f>IF(VLOOKUP($B45,$C$21:$D$36,2,FALSE)=9,"●","")</f>
        <v/>
      </c>
      <c r="N45" s="28">
        <f>IF(VLOOKUP($B45,$C$21:$D$36,2,FALSE)=10,"●","")</f>
        <v/>
      </c>
      <c r="O45" s="28">
        <f>IF(VLOOKUP($B45,$C$21:$D$36,2,FALSE)=11,"●","")</f>
        <v/>
      </c>
    </row>
    <row r="46">
      <c r="B46" s="23" t="inlineStr">
        <is>
          <t>M146</t>
        </is>
      </c>
      <c r="C46" s="24" t="inlineStr">
        <is>
          <t>M14</t>
        </is>
      </c>
      <c r="D46" s="25">
        <f>IF(VLOOKUP($B46,$C$21:$D$36,2,FALSE)=0,"●","")</f>
        <v/>
      </c>
      <c r="E46" s="25">
        <f>IF(VLOOKUP($B46,$C$21:$D$36,2,FALSE)=1,"●","")</f>
        <v/>
      </c>
      <c r="F46" s="25">
        <f>IF(VLOOKUP($B46,$C$21:$D$36,2,FALSE)=2,"●","")</f>
        <v/>
      </c>
      <c r="G46" s="25">
        <f>IF(VLOOKUP($B46,$C$21:$D$36,2,FALSE)=3,"●","")</f>
        <v/>
      </c>
      <c r="H46" s="25">
        <f>IF(VLOOKUP($B46,$C$21:$D$36,2,FALSE)=4,"●","")</f>
        <v/>
      </c>
      <c r="I46" s="25">
        <f>IF(VLOOKUP($B46,$C$21:$D$36,2,FALSE)=5,"●","")</f>
        <v/>
      </c>
      <c r="J46" s="25">
        <f>IF(VLOOKUP($B46,$C$21:$D$36,2,FALSE)=6,"●","")</f>
        <v/>
      </c>
      <c r="K46" s="25">
        <f>IF(VLOOKUP($B46,$C$21:$D$36,2,FALSE)=7,"●","")</f>
        <v/>
      </c>
      <c r="L46" s="25">
        <f>IF(VLOOKUP($B46,$C$21:$D$36,2,FALSE)=8,"●","")</f>
        <v/>
      </c>
      <c r="M46" s="25">
        <f>IF(VLOOKUP($B46,$C$21:$D$36,2,FALSE)=9,"●","")</f>
        <v/>
      </c>
      <c r="N46" s="25">
        <f>IF(VLOOKUP($B46,$C$21:$D$36,2,FALSE)=10,"●","")</f>
        <v/>
      </c>
      <c r="O46" s="25">
        <f>IF(VLOOKUP($B46,$C$21:$D$36,2,FALSE)=11,"●","")</f>
        <v/>
      </c>
    </row>
    <row r="47">
      <c r="B47" s="26" t="inlineStr">
        <is>
          <t>M147</t>
        </is>
      </c>
      <c r="C47" s="27" t="inlineStr">
        <is>
          <t>M14</t>
        </is>
      </c>
      <c r="D47" s="28">
        <f>IF(VLOOKUP($B47,$C$21:$D$36,2,FALSE)=0,"●","")</f>
        <v/>
      </c>
      <c r="E47" s="28">
        <f>IF(VLOOKUP($B47,$C$21:$D$36,2,FALSE)=1,"●","")</f>
        <v/>
      </c>
      <c r="F47" s="28">
        <f>IF(VLOOKUP($B47,$C$21:$D$36,2,FALSE)=2,"●","")</f>
        <v/>
      </c>
      <c r="G47" s="28">
        <f>IF(VLOOKUP($B47,$C$21:$D$36,2,FALSE)=3,"●","")</f>
        <v/>
      </c>
      <c r="H47" s="28">
        <f>IF(VLOOKUP($B47,$C$21:$D$36,2,FALSE)=4,"●","")</f>
        <v/>
      </c>
      <c r="I47" s="28">
        <f>IF(VLOOKUP($B47,$C$21:$D$36,2,FALSE)=5,"●","")</f>
        <v/>
      </c>
      <c r="J47" s="28">
        <f>IF(VLOOKUP($B47,$C$21:$D$36,2,FALSE)=6,"●","")</f>
        <v/>
      </c>
      <c r="K47" s="28">
        <f>IF(VLOOKUP($B47,$C$21:$D$36,2,FALSE)=7,"●","")</f>
        <v/>
      </c>
      <c r="L47" s="28">
        <f>IF(VLOOKUP($B47,$C$21:$D$36,2,FALSE)=8,"●","")</f>
        <v/>
      </c>
      <c r="M47" s="28">
        <f>IF(VLOOKUP($B47,$C$21:$D$36,2,FALSE)=9,"●","")</f>
        <v/>
      </c>
      <c r="N47" s="28">
        <f>IF(VLOOKUP($B47,$C$21:$D$36,2,FALSE)=10,"●","")</f>
        <v/>
      </c>
      <c r="O47" s="28">
        <f>IF(VLOOKUP($B47,$C$21:$D$36,2,FALSE)=11,"●","")</f>
        <v/>
      </c>
    </row>
    <row r="48">
      <c r="B48" s="23" t="inlineStr">
        <is>
          <t>M190</t>
        </is>
      </c>
      <c r="C48" s="24" t="inlineStr">
        <is>
          <t>M14</t>
        </is>
      </c>
      <c r="D48" s="25">
        <f>IF(VLOOKUP($B48,$C$21:$D$36,2,FALSE)=0,"●","")</f>
        <v/>
      </c>
      <c r="E48" s="25">
        <f>IF(VLOOKUP($B48,$C$21:$D$36,2,FALSE)=1,"●","")</f>
        <v/>
      </c>
      <c r="F48" s="25">
        <f>IF(VLOOKUP($B48,$C$21:$D$36,2,FALSE)=2,"●","")</f>
        <v/>
      </c>
      <c r="G48" s="25">
        <f>IF(VLOOKUP($B48,$C$21:$D$36,2,FALSE)=3,"●","")</f>
        <v/>
      </c>
      <c r="H48" s="25">
        <f>IF(VLOOKUP($B48,$C$21:$D$36,2,FALSE)=4,"●","")</f>
        <v/>
      </c>
      <c r="I48" s="25">
        <f>IF(VLOOKUP($B48,$C$21:$D$36,2,FALSE)=5,"●","")</f>
        <v/>
      </c>
      <c r="J48" s="25">
        <f>IF(VLOOKUP($B48,$C$21:$D$36,2,FALSE)=6,"●","")</f>
        <v/>
      </c>
      <c r="K48" s="25">
        <f>IF(VLOOKUP($B48,$C$21:$D$36,2,FALSE)=7,"●","")</f>
        <v/>
      </c>
      <c r="L48" s="25">
        <f>IF(VLOOKUP($B48,$C$21:$D$36,2,FALSE)=8,"●","")</f>
        <v/>
      </c>
      <c r="M48" s="25">
        <f>IF(VLOOKUP($B48,$C$21:$D$36,2,FALSE)=9,"●","")</f>
        <v/>
      </c>
      <c r="N48" s="25">
        <f>IF(VLOOKUP($B48,$C$21:$D$36,2,FALSE)=10,"●","")</f>
        <v/>
      </c>
      <c r="O48" s="25">
        <f>IF(VLOOKUP($B48,$C$21:$D$36,2,FALSE)=11,"●","")</f>
        <v/>
      </c>
    </row>
    <row r="49">
      <c r="B49" s="26" t="inlineStr">
        <is>
          <t>M130</t>
        </is>
      </c>
      <c r="C49" s="27" t="inlineStr">
        <is>
          <t>M13 &amp; M16</t>
        </is>
      </c>
      <c r="D49" s="28">
        <f>IF(VLOOKUP($B49,$C$21:$D$36,2,FALSE)=0,"●","")</f>
        <v/>
      </c>
      <c r="E49" s="28">
        <f>IF(VLOOKUP($B49,$C$21:$D$36,2,FALSE)=1,"●","")</f>
        <v/>
      </c>
      <c r="F49" s="28">
        <f>IF(VLOOKUP($B49,$C$21:$D$36,2,FALSE)=2,"●","")</f>
        <v/>
      </c>
      <c r="G49" s="28">
        <f>IF(VLOOKUP($B49,$C$21:$D$36,2,FALSE)=3,"●","")</f>
        <v/>
      </c>
      <c r="H49" s="28">
        <f>IF(VLOOKUP($B49,$C$21:$D$36,2,FALSE)=4,"●","")</f>
        <v/>
      </c>
      <c r="I49" s="28">
        <f>IF(VLOOKUP($B49,$C$21:$D$36,2,FALSE)=5,"●","")</f>
        <v/>
      </c>
      <c r="J49" s="28">
        <f>IF(VLOOKUP($B49,$C$21:$D$36,2,FALSE)=6,"●","")</f>
        <v/>
      </c>
      <c r="K49" s="28">
        <f>IF(VLOOKUP($B49,$C$21:$D$36,2,FALSE)=7,"●","")</f>
        <v/>
      </c>
      <c r="L49" s="28">
        <f>IF(VLOOKUP($B49,$C$21:$D$36,2,FALSE)=8,"●","")</f>
        <v/>
      </c>
      <c r="M49" s="28">
        <f>IF(VLOOKUP($B49,$C$21:$D$36,2,FALSE)=9,"●","")</f>
        <v/>
      </c>
      <c r="N49" s="28">
        <f>IF(VLOOKUP($B49,$C$21:$D$36,2,FALSE)=10,"●","")</f>
        <v/>
      </c>
      <c r="O49" s="28">
        <f>IF(VLOOKUP($B49,$C$21:$D$36,2,FALSE)=11,"●","")</f>
        <v/>
      </c>
    </row>
    <row r="50">
      <c r="B50" s="23" t="inlineStr">
        <is>
          <t>M135</t>
        </is>
      </c>
      <c r="C50" s="24" t="inlineStr">
        <is>
          <t>M13 &amp; M16</t>
        </is>
      </c>
      <c r="D50" s="25">
        <f>IF(VLOOKUP($B50,$C$21:$D$36,2,FALSE)=0,"●","")</f>
        <v/>
      </c>
      <c r="E50" s="25">
        <f>IF(VLOOKUP($B50,$C$21:$D$36,2,FALSE)=1,"●","")</f>
        <v/>
      </c>
      <c r="F50" s="25">
        <f>IF(VLOOKUP($B50,$C$21:$D$36,2,FALSE)=2,"●","")</f>
        <v/>
      </c>
      <c r="G50" s="25">
        <f>IF(VLOOKUP($B50,$C$21:$D$36,2,FALSE)=3,"●","")</f>
        <v/>
      </c>
      <c r="H50" s="25">
        <f>IF(VLOOKUP($B50,$C$21:$D$36,2,FALSE)=4,"●","")</f>
        <v/>
      </c>
      <c r="I50" s="25">
        <f>IF(VLOOKUP($B50,$C$21:$D$36,2,FALSE)=5,"●","")</f>
        <v/>
      </c>
      <c r="J50" s="25">
        <f>IF(VLOOKUP($B50,$C$21:$D$36,2,FALSE)=6,"●","")</f>
        <v/>
      </c>
      <c r="K50" s="25">
        <f>IF(VLOOKUP($B50,$C$21:$D$36,2,FALSE)=7,"●","")</f>
        <v/>
      </c>
      <c r="L50" s="25">
        <f>IF(VLOOKUP($B50,$C$21:$D$36,2,FALSE)=8,"●","")</f>
        <v/>
      </c>
      <c r="M50" s="25">
        <f>IF(VLOOKUP($B50,$C$21:$D$36,2,FALSE)=9,"●","")</f>
        <v/>
      </c>
      <c r="N50" s="25">
        <f>IF(VLOOKUP($B50,$C$21:$D$36,2,FALSE)=10,"●","")</f>
        <v/>
      </c>
      <c r="O50" s="25">
        <f>IF(VLOOKUP($B50,$C$21:$D$36,2,FALSE)=11,"●","")</f>
        <v/>
      </c>
    </row>
    <row r="51">
      <c r="B51" s="26" t="inlineStr">
        <is>
          <t>M138</t>
        </is>
      </c>
      <c r="C51" s="27" t="inlineStr">
        <is>
          <t>M13 &amp; M16</t>
        </is>
      </c>
      <c r="D51" s="28">
        <f>IF(VLOOKUP($B51,$C$21:$D$36,2,FALSE)=0,"●","")</f>
        <v/>
      </c>
      <c r="E51" s="28">
        <f>IF(VLOOKUP($B51,$C$21:$D$36,2,FALSE)=1,"●","")</f>
        <v/>
      </c>
      <c r="F51" s="28">
        <f>IF(VLOOKUP($B51,$C$21:$D$36,2,FALSE)=2,"●","")</f>
        <v/>
      </c>
      <c r="G51" s="28">
        <f>IF(VLOOKUP($B51,$C$21:$D$36,2,FALSE)=3,"●","")</f>
        <v/>
      </c>
      <c r="H51" s="28">
        <f>IF(VLOOKUP($B51,$C$21:$D$36,2,FALSE)=4,"●","")</f>
        <v/>
      </c>
      <c r="I51" s="28">
        <f>IF(VLOOKUP($B51,$C$21:$D$36,2,FALSE)=5,"●","")</f>
        <v/>
      </c>
      <c r="J51" s="28">
        <f>IF(VLOOKUP($B51,$C$21:$D$36,2,FALSE)=6,"●","")</f>
        <v/>
      </c>
      <c r="K51" s="28">
        <f>IF(VLOOKUP($B51,$C$21:$D$36,2,FALSE)=7,"●","")</f>
        <v/>
      </c>
      <c r="L51" s="28">
        <f>IF(VLOOKUP($B51,$C$21:$D$36,2,FALSE)=8,"●","")</f>
        <v/>
      </c>
      <c r="M51" s="28">
        <f>IF(VLOOKUP($B51,$C$21:$D$36,2,FALSE)=9,"●","")</f>
        <v/>
      </c>
      <c r="N51" s="28">
        <f>IF(VLOOKUP($B51,$C$21:$D$36,2,FALSE)=10,"●","")</f>
        <v/>
      </c>
      <c r="O51" s="28">
        <f>IF(VLOOKUP($B51,$C$21:$D$36,2,FALSE)=11,"●","")</f>
        <v/>
      </c>
    </row>
    <row r="52">
      <c r="B52" s="23" t="inlineStr">
        <is>
          <t>M160</t>
        </is>
      </c>
      <c r="C52" s="24" t="inlineStr">
        <is>
          <t>M13 &amp; M16</t>
        </is>
      </c>
      <c r="D52" s="25">
        <f>IF(VLOOKUP($B52,$C$21:$D$36,2,FALSE)=0,"●","")</f>
        <v/>
      </c>
      <c r="E52" s="25">
        <f>IF(VLOOKUP($B52,$C$21:$D$36,2,FALSE)=1,"●","")</f>
        <v/>
      </c>
      <c r="F52" s="25">
        <f>IF(VLOOKUP($B52,$C$21:$D$36,2,FALSE)=2,"●","")</f>
        <v/>
      </c>
      <c r="G52" s="25">
        <f>IF(VLOOKUP($B52,$C$21:$D$36,2,FALSE)=3,"●","")</f>
        <v/>
      </c>
      <c r="H52" s="25">
        <f>IF(VLOOKUP($B52,$C$21:$D$36,2,FALSE)=4,"●","")</f>
        <v/>
      </c>
      <c r="I52" s="25">
        <f>IF(VLOOKUP($B52,$C$21:$D$36,2,FALSE)=5,"●","")</f>
        <v/>
      </c>
      <c r="J52" s="25">
        <f>IF(VLOOKUP($B52,$C$21:$D$36,2,FALSE)=6,"●","")</f>
        <v/>
      </c>
      <c r="K52" s="25">
        <f>IF(VLOOKUP($B52,$C$21:$D$36,2,FALSE)=7,"●","")</f>
        <v/>
      </c>
      <c r="L52" s="25">
        <f>IF(VLOOKUP($B52,$C$21:$D$36,2,FALSE)=8,"●","")</f>
        <v/>
      </c>
      <c r="M52" s="25">
        <f>IF(VLOOKUP($B52,$C$21:$D$36,2,FALSE)=9,"●","")</f>
        <v/>
      </c>
      <c r="N52" s="25">
        <f>IF(VLOOKUP($B52,$C$21:$D$36,2,FALSE)=10,"●","")</f>
        <v/>
      </c>
      <c r="O52" s="25">
        <f>IF(VLOOKUP($B52,$C$21:$D$36,2,FALSE)=11,"●","")</f>
        <v/>
      </c>
    </row>
    <row r="53">
      <c r="B53" s="26" t="inlineStr">
        <is>
          <t>M161</t>
        </is>
      </c>
      <c r="C53" s="27" t="inlineStr">
        <is>
          <t>M13 &amp; M16</t>
        </is>
      </c>
      <c r="D53" s="28">
        <f>IF(VLOOKUP($B53,$C$21:$D$36,2,FALSE)=0,"●","")</f>
        <v/>
      </c>
      <c r="E53" s="28">
        <f>IF(VLOOKUP($B53,$C$21:$D$36,2,FALSE)=1,"●","")</f>
        <v/>
      </c>
      <c r="F53" s="28">
        <f>IF(VLOOKUP($B53,$C$21:$D$36,2,FALSE)=2,"●","")</f>
        <v/>
      </c>
      <c r="G53" s="28">
        <f>IF(VLOOKUP($B53,$C$21:$D$36,2,FALSE)=3,"●","")</f>
        <v/>
      </c>
      <c r="H53" s="28">
        <f>IF(VLOOKUP($B53,$C$21:$D$36,2,FALSE)=4,"●","")</f>
        <v/>
      </c>
      <c r="I53" s="28">
        <f>IF(VLOOKUP($B53,$C$21:$D$36,2,FALSE)=5,"●","")</f>
        <v/>
      </c>
      <c r="J53" s="28">
        <f>IF(VLOOKUP($B53,$C$21:$D$36,2,FALSE)=6,"●","")</f>
        <v/>
      </c>
      <c r="K53" s="28">
        <f>IF(VLOOKUP($B53,$C$21:$D$36,2,FALSE)=7,"●","")</f>
        <v/>
      </c>
      <c r="L53" s="28">
        <f>IF(VLOOKUP($B53,$C$21:$D$36,2,FALSE)=8,"●","")</f>
        <v/>
      </c>
      <c r="M53" s="28">
        <f>IF(VLOOKUP($B53,$C$21:$D$36,2,FALSE)=9,"●","")</f>
        <v/>
      </c>
      <c r="N53" s="28">
        <f>IF(VLOOKUP($B53,$C$21:$D$36,2,FALSE)=10,"●","")</f>
        <v/>
      </c>
      <c r="O53" s="28">
        <f>IF(VLOOKUP($B53,$C$21:$D$36,2,FALSE)=11,"●","")</f>
        <v/>
      </c>
    </row>
    <row r="54">
      <c r="B54" s="23" t="inlineStr">
        <is>
          <t>M11</t>
        </is>
      </c>
      <c r="C54" s="24" t="inlineStr">
        <is>
          <t>Framework</t>
        </is>
      </c>
      <c r="D54" s="25">
        <f>IF(VLOOKUP($B54,$C$21:$D$36,2,FALSE)=0,"●","")</f>
        <v/>
      </c>
      <c r="E54" s="25">
        <f>IF(VLOOKUP($B54,$C$21:$D$36,2,FALSE)=1,"●","")</f>
        <v/>
      </c>
      <c r="F54" s="25">
        <f>IF(VLOOKUP($B54,$C$21:$D$36,2,FALSE)=2,"●","")</f>
        <v/>
      </c>
      <c r="G54" s="25">
        <f>IF(VLOOKUP($B54,$C$21:$D$36,2,FALSE)=3,"●","")</f>
        <v/>
      </c>
      <c r="H54" s="25">
        <f>IF(VLOOKUP($B54,$C$21:$D$36,2,FALSE)=4,"●","")</f>
        <v/>
      </c>
      <c r="I54" s="25">
        <f>IF(VLOOKUP($B54,$C$21:$D$36,2,FALSE)=5,"●","")</f>
        <v/>
      </c>
      <c r="J54" s="25">
        <f>IF(VLOOKUP($B54,$C$21:$D$36,2,FALSE)=6,"●","")</f>
        <v/>
      </c>
      <c r="K54" s="25">
        <f>IF(VLOOKUP($B54,$C$21:$D$36,2,FALSE)=7,"●","")</f>
        <v/>
      </c>
      <c r="L54" s="25">
        <f>IF(VLOOKUP($B54,$C$21:$D$36,2,FALSE)=8,"●","")</f>
        <v/>
      </c>
      <c r="M54" s="25">
        <f>IF(VLOOKUP($B54,$C$21:$D$36,2,FALSE)=9,"●","")</f>
        <v/>
      </c>
      <c r="N54" s="25">
        <f>IF(VLOOKUP($B54,$C$21:$D$36,2,FALSE)=10,"●","")</f>
        <v/>
      </c>
      <c r="O54" s="25">
        <f>IF(VLOOKUP($B54,$C$21:$D$36,2,FALSE)=11,"●","")</f>
        <v/>
      </c>
    </row>
    <row r="55">
      <c r="B55" s="26" t="inlineStr">
        <is>
          <t>Minor Works</t>
        </is>
      </c>
      <c r="C55" s="27" t="inlineStr">
        <is>
          <t>Framework</t>
        </is>
      </c>
      <c r="D55" s="28">
        <f>IF(VLOOKUP($B55,$C$21:$D$36,2,FALSE)=0,"●","")</f>
        <v/>
      </c>
      <c r="E55" s="28">
        <f>IF(VLOOKUP($B55,$C$21:$D$36,2,FALSE)=1,"●","")</f>
        <v/>
      </c>
      <c r="F55" s="28">
        <f>IF(VLOOKUP($B55,$C$21:$D$36,2,FALSE)=2,"●","")</f>
        <v/>
      </c>
      <c r="G55" s="28">
        <f>IF(VLOOKUP($B55,$C$21:$D$36,2,FALSE)=3,"●","")</f>
        <v/>
      </c>
      <c r="H55" s="28">
        <f>IF(VLOOKUP($B55,$C$21:$D$36,2,FALSE)=4,"●","")</f>
        <v/>
      </c>
      <c r="I55" s="28">
        <f>IF(VLOOKUP($B55,$C$21:$D$36,2,FALSE)=5,"●","")</f>
        <v/>
      </c>
      <c r="J55" s="28">
        <f>IF(VLOOKUP($B55,$C$21:$D$36,2,FALSE)=6,"●","")</f>
        <v/>
      </c>
      <c r="K55" s="28">
        <f>IF(VLOOKUP($B55,$C$21:$D$36,2,FALSE)=7,"●","")</f>
        <v/>
      </c>
      <c r="L55" s="28">
        <f>IF(VLOOKUP($B55,$C$21:$D$36,2,FALSE)=8,"●","")</f>
        <v/>
      </c>
      <c r="M55" s="28">
        <f>IF(VLOOKUP($B55,$C$21:$D$36,2,FALSE)=9,"●","")</f>
        <v/>
      </c>
      <c r="N55" s="28">
        <f>IF(VLOOKUP($B55,$C$21:$D$36,2,FALSE)=10,"●","")</f>
        <v/>
      </c>
      <c r="O55" s="28">
        <f>IF(VLOOKUP($B55,$C$21:$D$36,2,FALSE)=11,"●","")</f>
        <v/>
      </c>
    </row>
    <row r="56">
      <c r="B56" s="23" t="inlineStr">
        <is>
          <t>Baseline Monitoring</t>
        </is>
      </c>
      <c r="C56" s="24" t="inlineStr">
        <is>
          <t>Framework</t>
        </is>
      </c>
      <c r="D56" s="25">
        <f>IF(VLOOKUP($B56,$C$21:$D$36,2,FALSE)=0,"●","")</f>
        <v/>
      </c>
      <c r="E56" s="25">
        <f>IF(VLOOKUP($B56,$C$21:$D$36,2,FALSE)=1,"●","")</f>
        <v/>
      </c>
      <c r="F56" s="25">
        <f>IF(VLOOKUP($B56,$C$21:$D$36,2,FALSE)=2,"●","")</f>
        <v/>
      </c>
      <c r="G56" s="25">
        <f>IF(VLOOKUP($B56,$C$21:$D$36,2,FALSE)=3,"●","")</f>
        <v/>
      </c>
      <c r="H56" s="25">
        <f>IF(VLOOKUP($B56,$C$21:$D$36,2,FALSE)=4,"●","")</f>
        <v/>
      </c>
      <c r="I56" s="25">
        <f>IF(VLOOKUP($B56,$C$21:$D$36,2,FALSE)=5,"●","")</f>
        <v/>
      </c>
      <c r="J56" s="25">
        <f>IF(VLOOKUP($B56,$C$21:$D$36,2,FALSE)=6,"●","")</f>
        <v/>
      </c>
      <c r="K56" s="25">
        <f>IF(VLOOKUP($B56,$C$21:$D$36,2,FALSE)=7,"●","")</f>
        <v/>
      </c>
      <c r="L56" s="25">
        <f>IF(VLOOKUP($B56,$C$21:$D$36,2,FALSE)=8,"●","")</f>
        <v/>
      </c>
      <c r="M56" s="25">
        <f>IF(VLOOKUP($B56,$C$21:$D$36,2,FALSE)=9,"●","")</f>
        <v/>
      </c>
      <c r="N56" s="25">
        <f>IF(VLOOKUP($B56,$C$21:$D$36,2,FALSE)=10,"●","")</f>
        <v/>
      </c>
      <c r="O56" s="25">
        <f>IF(VLOOKUP($B56,$C$21:$D$36,2,FALSE)=11,"●","")</f>
        <v/>
      </c>
    </row>
    <row r="57">
      <c r="B57" s="26" t="inlineStr">
        <is>
          <t>DAA</t>
        </is>
      </c>
      <c r="C57" s="27" t="inlineStr">
        <is>
          <t>Framework</t>
        </is>
      </c>
      <c r="D57" s="28">
        <f>IF(VLOOKUP($B57,$C$21:$D$36,2,FALSE)=0,"●","")</f>
        <v/>
      </c>
      <c r="E57" s="28">
        <f>IF(VLOOKUP($B57,$C$21:$D$36,2,FALSE)=1,"●","")</f>
        <v/>
      </c>
      <c r="F57" s="28">
        <f>IF(VLOOKUP($B57,$C$21:$D$36,2,FALSE)=2,"●","")</f>
        <v/>
      </c>
      <c r="G57" s="28">
        <f>IF(VLOOKUP($B57,$C$21:$D$36,2,FALSE)=3,"●","")</f>
        <v/>
      </c>
      <c r="H57" s="28">
        <f>IF(VLOOKUP($B57,$C$21:$D$36,2,FALSE)=4,"●","")</f>
        <v/>
      </c>
      <c r="I57" s="28">
        <f>IF(VLOOKUP($B57,$C$21:$D$36,2,FALSE)=5,"●","")</f>
        <v/>
      </c>
      <c r="J57" s="28">
        <f>IF(VLOOKUP($B57,$C$21:$D$36,2,FALSE)=6,"●","")</f>
        <v/>
      </c>
      <c r="K57" s="28">
        <f>IF(VLOOKUP($B57,$C$21:$D$36,2,FALSE)=7,"●","")</f>
        <v/>
      </c>
      <c r="L57" s="28">
        <f>IF(VLOOKUP($B57,$C$21:$D$36,2,FALSE)=8,"●","")</f>
        <v/>
      </c>
      <c r="M57" s="28">
        <f>IF(VLOOKUP($B57,$C$21:$D$36,2,FALSE)=9,"●","")</f>
        <v/>
      </c>
      <c r="N57" s="28">
        <f>IF(VLOOKUP($B57,$C$21:$D$36,2,FALSE)=10,"●","")</f>
        <v/>
      </c>
      <c r="O57" s="28">
        <f>IF(VLOOKUP($B57,$C$21:$D$36,2,FALSE)=11,"●","")</f>
        <v/>
      </c>
    </row>
    <row r="60">
      <c r="B60" s="29" t="inlineStr">
        <is>
          <t>Status:</t>
        </is>
      </c>
      <c r="C60" s="30" t="inlineStr">
        <is>
          <t xml:space="preserve">  Not Started</t>
        </is>
      </c>
      <c r="D60" s="31" t="inlineStr">
        <is>
          <t xml:space="preserve">  In Progress</t>
        </is>
      </c>
      <c r="E60" s="32" t="inlineStr">
        <is>
          <t xml:space="preserve">  At Risk</t>
        </is>
      </c>
      <c r="F60" s="33" t="inlineStr">
        <is>
          <t xml:space="preserve">  Delayed</t>
        </is>
      </c>
      <c r="G60" s="34" t="inlineStr">
        <is>
          <t xml:space="preserve">  Complete</t>
        </is>
      </c>
    </row>
    <row r="62">
      <c r="B62" s="14" t="inlineStr">
        <is>
          <t>Tip: use the column filters on the Contract Tracker table to drill into any status, group or stage. See the Stage Guide tab for what each of the 12 stages means.</t>
        </is>
      </c>
    </row>
  </sheetData>
  <mergeCells count="39">
    <mergeCell ref="F11:G11"/>
    <mergeCell ref="B16:C16"/>
    <mergeCell ref="F16:G16"/>
    <mergeCell ref="L16:M16"/>
    <mergeCell ref="J13:K13"/>
    <mergeCell ref="B9:C10"/>
    <mergeCell ref="L13:M13"/>
    <mergeCell ref="D9:E10"/>
    <mergeCell ref="B4:M5"/>
    <mergeCell ref="F9:G10"/>
    <mergeCell ref="L9:M10"/>
    <mergeCell ref="B11:C11"/>
    <mergeCell ref="D11:E11"/>
    <mergeCell ref="D13:E13"/>
    <mergeCell ref="D14:E15"/>
    <mergeCell ref="F14:G15"/>
    <mergeCell ref="L8:M8"/>
    <mergeCell ref="B8:C8"/>
    <mergeCell ref="H14:I15"/>
    <mergeCell ref="J14:K15"/>
    <mergeCell ref="F8:G8"/>
    <mergeCell ref="B6:M6"/>
    <mergeCell ref="B13:C13"/>
    <mergeCell ref="H11:I11"/>
    <mergeCell ref="D16:E16"/>
    <mergeCell ref="B2:M3"/>
    <mergeCell ref="J11:K11"/>
    <mergeCell ref="H16:I16"/>
    <mergeCell ref="J16:K16"/>
    <mergeCell ref="F13:G13"/>
    <mergeCell ref="H13:I13"/>
    <mergeCell ref="H9:I10"/>
    <mergeCell ref="D8:E8"/>
    <mergeCell ref="J9:K10"/>
    <mergeCell ref="L11:M11"/>
    <mergeCell ref="B14:C15"/>
    <mergeCell ref="H8:I8"/>
    <mergeCell ref="J8:K8"/>
    <mergeCell ref="L14:M15"/>
  </mergeCells>
  <conditionalFormatting sqref="G21:G36">
    <cfRule type="cellIs" priority="1" operator="equal" dxfId="0">
      <formula>"Not Started"</formula>
    </cfRule>
    <cfRule type="cellIs" priority="2" operator="equal" dxfId="1">
      <formula>"In Progress"</formula>
    </cfRule>
    <cfRule type="cellIs" priority="3" operator="equal" dxfId="2">
      <formula>"At Risk"</formula>
    </cfRule>
    <cfRule type="cellIs" priority="4" operator="equal" dxfId="3">
      <formula>"Delayed"</formula>
    </cfRule>
    <cfRule type="cellIs" priority="5" operator="equal" dxfId="4">
      <formula>"Complete"</formula>
    </cfRule>
  </conditionalFormatting>
  <conditionalFormatting sqref="H21:H36">
    <cfRule type="dataBar" priority="6">
      <dataBar showValue="1">
        <cfvo type="num" val="0"/>
        <cfvo type="num" val="1"/>
        <color rgb="002E6FA3"/>
      </dataBar>
    </cfRule>
  </conditionalFormatting>
  <conditionalFormatting sqref="D42:O57">
    <cfRule type="expression" priority="7" dxfId="5">
      <formula>AND(D42&lt;&gt;"",VLOOKUP($B42,$C$21:$G$36,5,FALSE)="Not Started")</formula>
    </cfRule>
    <cfRule type="expression" priority="8" dxfId="6">
      <formula>AND(D42&lt;&gt;"",VLOOKUP($B42,$C$21:$G$36,5,FALSE)="In Progress")</formula>
    </cfRule>
    <cfRule type="expression" priority="9" dxfId="7">
      <formula>AND(D42&lt;&gt;"",VLOOKUP($B42,$C$21:$G$36,5,FALSE)="At Risk")</formula>
    </cfRule>
    <cfRule type="expression" priority="10" dxfId="8">
      <formula>AND(D42&lt;&gt;"",VLOOKUP($B42,$C$21:$G$36,5,FALSE)="Delayed")</formula>
    </cfRule>
    <cfRule type="expression" priority="11" dxfId="9">
      <formula>AND(D42&lt;&gt;"",VLOOKUP($B42,$C$21:$G$36,5,FALSE)="Complete")</formula>
    </cfRule>
  </conditionalFormatting>
  <dataValidations count="2">
    <dataValidation sqref="D21:D36" showDropDown="0" showInputMessage="0" showErrorMessage="0" allowBlank="0" errorTitle="Invalid stage" error="Choose a stage number from 0 (design development) to 11 (construction start)." type="list">
      <formula1>=$R$2:$R$13</formula1>
    </dataValidation>
    <dataValidation sqref="G21:G36" showDropDown="0" showInputMessage="0" showErrorMessage="0" allowBlank="0" type="list">
      <formula1>=$V$2:$V$6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F18"/>
  <sheetViews>
    <sheetView showGridLines="0"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11" customWidth="1" min="2" max="2"/>
    <col width="26" customWidth="1" min="3" max="3"/>
    <col width="24" customWidth="1" min="4" max="4"/>
    <col width="60" customWidth="1" min="5" max="5"/>
  </cols>
  <sheetData>
    <row r="2" ht="22" customHeight="1">
      <c r="B2" s="35" t="inlineStr">
        <is>
          <t>Design-to-Tender Workflow — Stage Guide</t>
        </is>
      </c>
    </row>
    <row r="3"/>
    <row r="4">
      <c r="B4" s="36" t="inlineStr">
        <is>
          <t>What each stage number in the Contract Tracker and Stage Map means.</t>
        </is>
      </c>
    </row>
    <row r="6">
      <c r="B6" s="15" t="inlineStr">
        <is>
          <t>Stage No.</t>
        </is>
      </c>
      <c r="C6" s="15" t="inlineStr">
        <is>
          <t>Stage Title</t>
        </is>
      </c>
      <c r="D6" s="15" t="inlineStr">
        <is>
          <t>Phase</t>
        </is>
      </c>
      <c r="E6" s="15" t="inlineStr">
        <is>
          <t>What Happens at This Stage</t>
        </is>
      </c>
    </row>
    <row r="7" ht="30" customHeight="1">
      <c r="B7" s="37" t="n">
        <v>0</v>
      </c>
      <c r="C7" s="38" t="inlineStr">
        <is>
          <t>Design Development</t>
        </is>
      </c>
      <c r="D7" s="39" t="inlineStr">
        <is>
          <t>Design Development → Tender</t>
        </is>
      </c>
      <c r="E7" s="39" t="inlineStr">
        <is>
          <t>Contract has not yet entered the numbered DTW workflow — the design pack is still in early development ahead of the Pre-IDC issue.</t>
        </is>
      </c>
    </row>
    <row r="8" ht="30" customHeight="1">
      <c r="B8" s="40" t="n">
        <v>1</v>
      </c>
      <c r="C8" s="41" t="inlineStr">
        <is>
          <t>Pre-IDC Pack Issued</t>
        </is>
      </c>
      <c r="D8" s="42" t="inlineStr">
        <is>
          <t>Design Development → Tender</t>
        </is>
      </c>
      <c r="E8" s="42" t="inlineStr">
        <is>
          <t>Design pack prepared and issued, ready for the inter-disciplinary check.</t>
        </is>
      </c>
    </row>
    <row r="9" ht="30" customHeight="1">
      <c r="B9" s="37" t="n">
        <v>2</v>
      </c>
      <c r="C9" s="38" t="inlineStr">
        <is>
          <t>IDC</t>
        </is>
      </c>
      <c r="D9" s="39" t="inlineStr">
        <is>
          <t>Design Development → Tender</t>
        </is>
      </c>
      <c r="E9" s="39" t="inlineStr">
        <is>
          <t>Inter-Disciplinary Check — multidiscipline design review and coordination.</t>
        </is>
      </c>
    </row>
    <row r="10" ht="30" customHeight="1">
      <c r="B10" s="40" t="n">
        <v>3</v>
      </c>
      <c r="C10" s="41" t="inlineStr">
        <is>
          <t>Full ITT Pack Issued – Rev 01</t>
        </is>
      </c>
      <c r="D10" s="42" t="inlineStr">
        <is>
          <t>Design Development → Tender</t>
        </is>
      </c>
      <c r="E10" s="42" t="inlineStr">
        <is>
          <t>Complete tender design pack issued at Rev 01 for the package.</t>
        </is>
      </c>
    </row>
    <row r="11" ht="30" customHeight="1">
      <c r="B11" s="37" t="n">
        <v>4</v>
      </c>
      <c r="C11" s="38" t="inlineStr">
        <is>
          <t>TII Instruction to Issue C01</t>
        </is>
      </c>
      <c r="D11" s="39" t="inlineStr">
        <is>
          <t>Design Development → Tender</t>
        </is>
      </c>
      <c r="E11" s="39" t="inlineStr">
        <is>
          <t>TII instructs AWDS to issue the C01 (construction-issue) drawings.</t>
        </is>
      </c>
    </row>
    <row r="12" ht="30" customHeight="1">
      <c r="B12" s="40" t="n">
        <v>5</v>
      </c>
      <c r="C12" s="41" t="inlineStr">
        <is>
          <t>AWDS C01 Submission</t>
        </is>
      </c>
      <c r="D12" s="42" t="inlineStr">
        <is>
          <t>Design Development → Tender</t>
        </is>
      </c>
      <c r="E12" s="42" t="inlineStr">
        <is>
          <t>AWDS submits the C01 drawings to TII (C01 drawings submission to TII).</t>
        </is>
      </c>
    </row>
    <row r="13" ht="30" customHeight="1">
      <c r="B13" s="37" t="n">
        <v>6</v>
      </c>
      <c r="C13" s="38" t="inlineStr">
        <is>
          <t>Ready for Tender</t>
        </is>
      </c>
      <c r="D13" s="39" t="inlineStr">
        <is>
          <t>Design Development → Tender</t>
        </is>
      </c>
      <c r="E13" s="39" t="inlineStr">
        <is>
          <t>Tender documentation complete, checked and assured.</t>
        </is>
      </c>
    </row>
    <row r="14" ht="30" customHeight="1">
      <c r="B14" s="40" t="n">
        <v>7</v>
      </c>
      <c r="C14" s="41" t="inlineStr">
        <is>
          <t>ITT Issue Date</t>
        </is>
      </c>
      <c r="D14" s="42" t="inlineStr">
        <is>
          <t>Design Development → Tender</t>
        </is>
      </c>
      <c r="E14" s="42" t="inlineStr">
        <is>
          <t>Invitation to Tender issued to market — design-driven.</t>
        </is>
      </c>
    </row>
    <row r="15" ht="30" customHeight="1">
      <c r="B15" s="43" t="n">
        <v>8</v>
      </c>
      <c r="C15" s="38" t="inlineStr">
        <is>
          <t>Tender Period</t>
        </is>
      </c>
      <c r="D15" s="39" t="inlineStr">
        <is>
          <t>Procurement &amp; Award</t>
        </is>
      </c>
      <c r="E15" s="39" t="inlineStr">
        <is>
          <t>Contractors price the works; queries and clarifications are managed.</t>
        </is>
      </c>
    </row>
    <row r="16" ht="30" customHeight="1">
      <c r="B16" s="44" t="n">
        <v>9</v>
      </c>
      <c r="C16" s="41" t="inlineStr">
        <is>
          <t>ITT Award</t>
        </is>
      </c>
      <c r="D16" s="42" t="inlineStr">
        <is>
          <t>Procurement &amp; Award</t>
        </is>
      </c>
      <c r="E16" s="42" t="inlineStr">
        <is>
          <t>Preferred tenderer selected and the ITT awarded.</t>
        </is>
      </c>
    </row>
    <row r="17" ht="30" customHeight="1">
      <c r="B17" s="43" t="n">
        <v>10</v>
      </c>
      <c r="C17" s="38" t="inlineStr">
        <is>
          <t>Contract Award</t>
        </is>
      </c>
      <c r="D17" s="39" t="inlineStr">
        <is>
          <t>Procurement &amp; Award</t>
        </is>
      </c>
      <c r="E17" s="39" t="inlineStr">
        <is>
          <t>NEC contract executed with the appointed contractor.</t>
        </is>
      </c>
    </row>
    <row r="18" ht="30" customHeight="1">
      <c r="B18" s="44" t="n">
        <v>11</v>
      </c>
      <c r="C18" s="41" t="inlineStr">
        <is>
          <t>Construction Start</t>
        </is>
      </c>
      <c r="D18" s="42" t="inlineStr">
        <is>
          <t>Procurement &amp; Award</t>
        </is>
      </c>
      <c r="E18" s="42" t="inlineStr">
        <is>
          <t>Works commence on site; AWDS moves to construction-stage support.</t>
        </is>
      </c>
    </row>
  </sheetData>
  <mergeCells count="2">
    <mergeCell ref="B4:F4"/>
    <mergeCell ref="B2:F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2026-07-02T16:31:26Z</dcterms:created>
  <dcterms:modified xsi:type="dcterms:W3CDTF">2026-07-02T16:31:26Z</dcterms:modified>
</cp:coreProperties>
</file>