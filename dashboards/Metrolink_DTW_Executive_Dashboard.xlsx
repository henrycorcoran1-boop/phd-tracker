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Lists" sheetId="2" state="hidden" r:id="rId2"/>
    <sheet name="Stage Reference" sheetId="3" state="visible" r:id="rId3"/>
    <sheet name="Contract Tracker" sheetId="4" state="visible" r:id="rId4"/>
    <sheet name="Stage M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8">
    <font>
      <name val="Calibri"/>
      <family val="2"/>
      <color theme="1"/>
      <sz val="11"/>
      <scheme val="minor"/>
    </font>
    <font>
      <name val="Calibri"/>
      <b val="1"/>
      <color rgb="001B2A4A"/>
      <sz val="14"/>
    </font>
    <font>
      <name val="Calibri"/>
      <i val="1"/>
      <color rgb="005B6472"/>
      <sz val="9"/>
    </font>
    <font>
      <name val="Calibri"/>
      <b val="1"/>
      <color rgb="00FFFFFF"/>
      <sz val="10"/>
    </font>
    <font>
      <name val="Calibri"/>
      <color rgb="001A2233"/>
      <sz val="10"/>
    </font>
    <font>
      <name val="Calibri"/>
      <b val="1"/>
      <color rgb="001B2A4A"/>
      <sz val="16"/>
    </font>
    <font>
      <name val="Calibri"/>
      <i val="1"/>
      <color rgb="005B6472"/>
      <sz val="10"/>
    </font>
    <font>
      <name val="Calibri"/>
      <b val="1"/>
      <color rgb="00E8792E"/>
      <sz val="12"/>
    </font>
    <font>
      <name val="Calibri"/>
      <b val="1"/>
      <color rgb="001A2233"/>
      <sz val="10"/>
    </font>
    <font>
      <name val="Calibri"/>
      <b val="1"/>
      <color rgb="001A2233"/>
      <sz val="12"/>
    </font>
    <font>
      <name val="Calibri"/>
      <b val="1"/>
      <color rgb="00FFFFFF"/>
      <sz val="9"/>
    </font>
    <font>
      <name val="Calibri"/>
      <b val="1"/>
      <color rgb="005B6472"/>
      <sz val="8.5"/>
    </font>
    <font>
      <name val="Calibri"/>
      <b val="1"/>
      <color rgb="001B2A4A"/>
      <sz val="26"/>
    </font>
    <font>
      <name val="Calibri"/>
      <b val="1"/>
      <color rgb="002E6FA3"/>
      <sz val="26"/>
    </font>
    <font>
      <name val="Calibri"/>
      <b val="1"/>
      <color rgb="0094A3B8"/>
      <sz val="26"/>
    </font>
    <font>
      <name val="Calibri"/>
      <b val="1"/>
      <color rgb="00D6483F"/>
      <sz val="26"/>
    </font>
    <font>
      <name val="Calibri"/>
      <b val="1"/>
      <color rgb="002E9E6D"/>
      <sz val="26"/>
    </font>
    <font>
      <name val="Calibri"/>
      <b val="1"/>
      <color rgb="001B2A4A"/>
      <sz val="12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FFF"/>
      </patternFill>
    </fill>
    <fill>
      <patternFill patternType="solid">
        <fgColor rgb="00F4F6F9"/>
      </patternFill>
    </fill>
    <fill>
      <patternFill patternType="solid">
        <fgColor rgb="0094A3B8"/>
      </patternFill>
    </fill>
    <fill>
      <patternFill patternType="solid">
        <fgColor rgb="002E6FA3"/>
      </patternFill>
    </fill>
    <fill>
      <patternFill patternType="solid">
        <fgColor rgb="00E8A93A"/>
      </patternFill>
    </fill>
    <fill>
      <patternFill patternType="solid">
        <fgColor rgb="00D6483F"/>
      </patternFill>
    </fill>
    <fill>
      <patternFill patternType="solid">
        <fgColor rgb="002E9E6D"/>
      </patternFill>
    </fill>
    <fill>
      <patternFill patternType="solid">
        <fgColor rgb="00E8792E"/>
      </patternFill>
    </fill>
  </fills>
  <borders count="18">
    <border>
      <left/>
      <right/>
      <top/>
      <bottom/>
      <diagonal/>
    </border>
    <border>
      <left style="thin">
        <color rgb="00D7DCE3"/>
      </left>
      <right style="thin">
        <color rgb="00D7DCE3"/>
      </right>
      <top style="thin">
        <color rgb="00D7DCE3"/>
      </top>
      <bottom style="thin">
        <color rgb="00D7DCE3"/>
      </bottom>
    </border>
    <border>
      <left style="thin">
        <color rgb="00D7DCE3"/>
      </left>
      <right style="thin">
        <color rgb="00D7DCE3"/>
      </right>
      <top style="thick">
        <color rgb="001B2A4A"/>
      </top>
    </border>
    <border>
      <left style="thin">
        <color rgb="00D7DCE3"/>
      </left>
      <bottom style="thin">
        <color rgb="00D7DCE3"/>
      </bottom>
    </border>
    <border>
      <right style="thin">
        <color rgb="00D7DCE3"/>
      </right>
      <bottom style="thin">
        <color rgb="00D7DCE3"/>
      </bottom>
    </border>
    <border>
      <right style="thin">
        <color rgb="00D7DCE3"/>
      </right>
      <top style="thick">
        <color rgb="001B2A4A"/>
      </top>
    </border>
    <border>
      <left style="thin">
        <color rgb="00D7DCE3"/>
      </left>
      <right style="thin">
        <color rgb="00D7DCE3"/>
      </right>
      <top style="thick">
        <color rgb="002E6FA3"/>
      </top>
    </border>
    <border>
      <right style="thin">
        <color rgb="00D7DCE3"/>
      </right>
      <top style="thick">
        <color rgb="002E6FA3"/>
      </top>
    </border>
    <border>
      <left style="thin">
        <color rgb="00D7DCE3"/>
      </left>
      <right style="thin">
        <color rgb="00D7DCE3"/>
      </right>
      <top style="thick">
        <color rgb="0094A3B8"/>
      </top>
    </border>
    <border>
      <right style="thin">
        <color rgb="00D7DCE3"/>
      </right>
      <top style="thick">
        <color rgb="0094A3B8"/>
      </top>
    </border>
    <border>
      <left style="thin">
        <color rgb="00D7DCE3"/>
      </left>
      <right style="thin">
        <color rgb="00D7DCE3"/>
      </right>
      <top style="thick">
        <color rgb="00D6483F"/>
      </top>
    </border>
    <border>
      <right style="thin">
        <color rgb="00D7DCE3"/>
      </right>
      <top style="thick">
        <color rgb="00D6483F"/>
      </top>
    </border>
    <border>
      <left style="thin">
        <color rgb="00D7DCE3"/>
      </left>
      <right style="thin">
        <color rgb="00D7DCE3"/>
      </right>
      <top style="thick">
        <color rgb="002E9E6D"/>
      </top>
    </border>
    <border>
      <right style="thin">
        <color rgb="00D7DCE3"/>
      </right>
      <top style="thick">
        <color rgb="002E9E6D"/>
      </top>
    </border>
    <border>
      <left/>
      <right/>
      <top style="thin">
        <color rgb="00D7DCE3"/>
      </top>
      <bottom/>
      <diagonal/>
    </border>
    <border>
      <left/>
      <right style="thin">
        <color rgb="00D7DCE3"/>
      </right>
      <top style="thin">
        <color rgb="00D7DCE3"/>
      </top>
      <bottom/>
      <diagonal/>
    </border>
    <border>
      <left/>
      <right/>
      <top style="thin">
        <color rgb="00D7DCE3"/>
      </top>
      <bottom style="thin">
        <color rgb="00D7DCE3"/>
      </bottom>
      <diagonal/>
    </border>
    <border>
      <left/>
      <right style="thin">
        <color rgb="00D7DCE3"/>
      </right>
      <top style="thin">
        <color rgb="00D7DCE3"/>
      </top>
      <bottom style="thin">
        <color rgb="00D7DCE3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0" fillId="10" borderId="0" pivotButton="0" quotePrefix="0" xfId="0"/>
    <xf numFmtId="0" fontId="11" fillId="3" borderId="2" applyAlignment="1" pivotButton="0" quotePrefix="0" xfId="0">
      <alignment horizontal="left" vertical="center" indent="1"/>
    </xf>
    <xf numFmtId="0" fontId="0" fillId="3" borderId="5" pivotButton="0" quotePrefix="0" xfId="0"/>
    <xf numFmtId="0" fontId="11" fillId="3" borderId="6" applyAlignment="1" pivotButton="0" quotePrefix="0" xfId="0">
      <alignment horizontal="left" vertical="center" indent="1"/>
    </xf>
    <xf numFmtId="0" fontId="0" fillId="3" borderId="7" pivotButton="0" quotePrefix="0" xfId="0"/>
    <xf numFmtId="0" fontId="11" fillId="3" borderId="8" applyAlignment="1" pivotButton="0" quotePrefix="0" xfId="0">
      <alignment horizontal="left" vertical="center" indent="1"/>
    </xf>
    <xf numFmtId="0" fontId="0" fillId="3" borderId="9" pivotButton="0" quotePrefix="0" xfId="0"/>
    <xf numFmtId="0" fontId="11" fillId="3" borderId="10" applyAlignment="1" pivotButton="0" quotePrefix="0" xfId="0">
      <alignment horizontal="left" vertical="center" indent="1"/>
    </xf>
    <xf numFmtId="0" fontId="0" fillId="3" borderId="11" pivotButton="0" quotePrefix="0" xfId="0"/>
    <xf numFmtId="0" fontId="11" fillId="3" borderId="12" applyAlignment="1" pivotButton="0" quotePrefix="0" xfId="0">
      <alignment horizontal="left" vertical="center" indent="1"/>
    </xf>
    <xf numFmtId="0" fontId="0" fillId="3" borderId="13" pivotButton="0" quotePrefix="0" xfId="0"/>
    <xf numFmtId="1" fontId="1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1" fontId="13" fillId="3" borderId="0" applyAlignment="1" pivotButton="0" quotePrefix="0" xfId="0">
      <alignment horizontal="left" vertical="center" indent="1"/>
    </xf>
    <xf numFmtId="1" fontId="14" fillId="3" borderId="0" applyAlignment="1" pivotButton="0" quotePrefix="0" xfId="0">
      <alignment horizontal="left" vertical="center" indent="1"/>
    </xf>
    <xf numFmtId="1" fontId="15" fillId="3" borderId="0" applyAlignment="1" pivotButton="0" quotePrefix="0" xfId="0">
      <alignment horizontal="left" vertical="center" indent="1"/>
    </xf>
    <xf numFmtId="9" fontId="16" fillId="3" borderId="0" applyAlignment="1" pivotButton="0" quotePrefix="0" xfId="0">
      <alignment horizontal="left" vertical="center" indent="1"/>
    </xf>
    <xf numFmtId="0" fontId="0" fillId="3" borderId="3" pivotButton="0" quotePrefix="0" xfId="0"/>
    <xf numFmtId="0" fontId="0" fillId="3" borderId="4" pivotButton="0" quotePrefix="0" xfId="0"/>
    <xf numFmtId="0" fontId="17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8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  <xf numFmtId="0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9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8" fillId="0" borderId="0" pivotButton="0" quotePrefix="0" xfId="0"/>
    <xf numFmtId="0" fontId="10" fillId="5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left" vertical="center"/>
    </xf>
    <xf numFmtId="0" fontId="10" fillId="9" borderId="0" applyAlignment="1" pivotButton="0" quotePrefix="0" xfId="0">
      <alignment horizontal="left" vertical="center"/>
    </xf>
  </cellXfs>
  <cellStyles count="1">
    <cellStyle name="Normal" xfId="0" builtinId="0" hidden="0"/>
  </cellStyles>
  <dxfs count="10">
    <dxf>
      <font>
        <name val="Calibri"/>
        <b val="1"/>
        <color rgb="00FFFFFF"/>
        <sz val="10"/>
      </font>
      <fill>
        <patternFill patternType="solid">
          <fgColor rgb="0094A3B8"/>
        </patternFill>
      </fill>
    </dxf>
    <dxf>
      <font>
        <name val="Calibri"/>
        <b val="1"/>
        <color rgb="00FFFFFF"/>
        <sz val="10"/>
      </font>
      <fill>
        <patternFill patternType="solid">
          <fgColor rgb="002E6FA3"/>
        </patternFill>
      </fill>
    </dxf>
    <dxf>
      <font>
        <name val="Calibri"/>
        <b val="1"/>
        <color rgb="00FFFFFF"/>
        <sz val="10"/>
      </font>
      <fill>
        <patternFill patternType="solid">
          <fgColor rgb="00E8A93A"/>
        </patternFill>
      </fill>
    </dxf>
    <dxf>
      <font>
        <name val="Calibri"/>
        <b val="1"/>
        <color rgb="00FFFFFF"/>
        <sz val="10"/>
      </font>
      <fill>
        <patternFill patternType="solid">
          <fgColor rgb="00D6483F"/>
        </patternFill>
      </fill>
    </dxf>
    <dxf>
      <font>
        <name val="Calibri"/>
        <b val="1"/>
        <color rgb="00FFFFFF"/>
        <sz val="10"/>
      </font>
      <fill>
        <patternFill patternType="solid">
          <fgColor rgb="002E9E6D"/>
        </patternFill>
      </fill>
    </dxf>
    <dxf>
      <font>
        <name val="Calibri"/>
        <b val="1"/>
        <color rgb="00FFFFFF"/>
        <sz val="12"/>
      </font>
      <fill>
        <patternFill patternType="solid">
          <fgColor rgb="0094A3B8"/>
        </patternFill>
      </fill>
    </dxf>
    <dxf>
      <font>
        <name val="Calibri"/>
        <b val="1"/>
        <color rgb="00FFFFFF"/>
        <sz val="12"/>
      </font>
      <fill>
        <patternFill patternType="solid">
          <fgColor rgb="002E6FA3"/>
        </patternFill>
      </fill>
    </dxf>
    <dxf>
      <font>
        <name val="Calibri"/>
        <b val="1"/>
        <color rgb="00FFFFFF"/>
        <sz val="12"/>
      </font>
      <fill>
        <patternFill patternType="solid">
          <fgColor rgb="00E8A93A"/>
        </patternFill>
      </fill>
    </dxf>
    <dxf>
      <font>
        <name val="Calibri"/>
        <b val="1"/>
        <color rgb="00FFFFFF"/>
        <sz val="12"/>
      </font>
      <fill>
        <patternFill patternType="solid">
          <fgColor rgb="00D6483F"/>
        </patternFill>
      </fill>
    </dxf>
    <dxf>
      <font>
        <name val="Calibri"/>
        <b val="1"/>
        <color rgb="00FFFFFF"/>
        <sz val="12"/>
      </font>
      <fill>
        <patternFill patternType="solid">
          <fgColor rgb="002E9E6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Contracts by DTW Stage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E6FA3"/>
            </a:solidFill>
            <a:ln>
              <a:prstDash val="solid"/>
            </a:ln>
          </spPr>
          <dLbls>
            <showVal val="1"/>
          </dLbls>
          <cat>
            <numRef>
              <f>'Lists'!$E$3:$E$13</f>
            </numRef>
          </cat>
          <val>
            <numRef>
              <f>'Lists'!$F$3:$F$13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Status Breakdown — All Contracts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4A3B8"/>
              </a:solidFill>
              <a:ln>
                <a:prstDash val="solid"/>
              </a:ln>
            </spPr>
          </dPt>
          <dPt>
            <idx val="1"/>
            <spPr>
              <a:solidFill>
                <a:srgbClr val="2E6FA3"/>
              </a:solidFill>
              <a:ln>
                <a:prstDash val="solid"/>
              </a:ln>
            </spPr>
          </dPt>
          <dPt>
            <idx val="2"/>
            <spPr>
              <a:solidFill>
                <a:srgbClr val="E8A93A"/>
              </a:solidFill>
              <a:ln>
                <a:prstDash val="solid"/>
              </a:ln>
            </spPr>
          </dPt>
          <dPt>
            <idx val="3"/>
            <spPr>
              <a:solidFill>
                <a:srgbClr val="D6483F"/>
              </a:solidFill>
              <a:ln>
                <a:prstDash val="solid"/>
              </a:ln>
            </spPr>
          </dPt>
          <dPt>
            <idx val="4"/>
            <spPr>
              <a:solidFill>
                <a:srgbClr val="2E9E6D"/>
              </a:solidFill>
              <a:ln>
                <a:prstDash val="solid"/>
              </a:ln>
            </spPr>
          </dPt>
          <cat>
            <numRef>
              <f>'Lists'!$A$2:$A$6</f>
            </numRef>
          </cat>
          <val>
            <numRef>
              <f>'Lists'!$G$2:$G$6</f>
            </numRef>
          </val>
        </ser>
        <dLbls>
          <showVal val="1"/>
        </dLbls>
        <firstSliceAng val="0"/>
        <holeSize val="60"/>
      </doughnut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Metrolink DTW</author>
  </authors>
  <commentList>
    <comment ref="D5" authorId="0" shapeId="0">
      <text>
        <t>Stage 0: Not Yet Started
(Not Started)</t>
      </text>
    </comment>
    <comment ref="E5" authorId="0" shapeId="0">
      <text>
        <t>Stage 1: Pre-IDC Pack Issued
(Design Development → Tender)</t>
      </text>
    </comment>
    <comment ref="F5" authorId="0" shapeId="0">
      <text>
        <t>Stage 2: IDC (Inter-Disciplinary Check)
(Design Development → Tender)</t>
      </text>
    </comment>
    <comment ref="G5" authorId="0" shapeId="0">
      <text>
        <t>Stage 3: Full ITT Pack Issued – Rev 01
(Design Development → Tender)</t>
      </text>
    </comment>
    <comment ref="H5" authorId="0" shapeId="0">
      <text>
        <t>Stage 4: TII Instruction to Issue C01
(Design Development → Tender)</t>
      </text>
    </comment>
    <comment ref="I5" authorId="0" shapeId="0">
      <text>
        <t>Stage 5: AWDS C01 Submission
(Design Development → Tender)</t>
      </text>
    </comment>
    <comment ref="J5" authorId="0" shapeId="0">
      <text>
        <t>Stage 6: Ready for Tender
(Design Development → Tender)</t>
      </text>
    </comment>
    <comment ref="K5" authorId="0" shapeId="0">
      <text>
        <t>Stage 7: ITT Issue Date
(Design Development → Tender)</t>
      </text>
    </comment>
    <comment ref="L5" authorId="0" shapeId="0">
      <text>
        <t>Stage 8: Tender Period
(Procurement &amp; Award)</t>
      </text>
    </comment>
    <comment ref="M5" authorId="0" shapeId="0">
      <text>
        <t>Stage 9: ITT Award
(Procurement &amp; Award)</t>
      </text>
    </comment>
    <comment ref="N5" authorId="0" shapeId="0">
      <text>
        <t>Stage 10: Contract Award
(Procurement &amp; Award)</t>
      </text>
    </comment>
    <comment ref="O5" authorId="0" shapeId="0">
      <text>
        <t>Stage 11: Construction Start
(Procurement &amp; Award)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12</row>
      <rowOff>0</rowOff>
    </from>
    <ext cx="68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12</row>
      <rowOff>0</rowOff>
    </from>
    <ext cx="43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DTW" displayName="tblDTW" ref="B6:J18" headerRowCount="1">
  <autoFilter ref="B6:J18"/>
  <tableColumns count="9">
    <tableColumn id="2" name="Group"/>
    <tableColumn id="3" name="Contract"/>
    <tableColumn id="4" name="Stage No."/>
    <tableColumn id="5" name="DTW Stage"/>
    <tableColumn id="6" name="Phase"/>
    <tableColumn id="7" name="Status"/>
    <tableColumn id="8" name="Progress"/>
    <tableColumn id="9" name="Last Updated"/>
    <tableColumn id="10" name="Notes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Framework" displayName="tblFramework" ref="B23:E27" headerRowCount="1">
  <autoFilter ref="B23:E27"/>
  <tableColumns count="4">
    <tableColumn id="2" name="Contract"/>
    <tableColumn id="3" name="Status"/>
    <tableColumn id="4" name="Last Updated"/>
    <tableColumn id="5" name="Notes"/>
  </tableColumns>
  <tableStyleInfo name="TableStyleMedium2" showFir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O41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 ht="30" customHeight="1">
      <c r="B2" s="1" t="inlineStr">
        <is>
          <r>
            <rPr>
              <rFont val="Calibri"/>
              <b val="1"/>
              <color rgb="00D62B1F"/>
              <sz val="2400"/>
            </rPr>
            <t>METRO</t>
          </r>
          <r>
            <rPr>
              <rFont val="Calibri"/>
              <b val="1"/>
              <color rgb="00FFFFFF"/>
              <sz val="2400"/>
            </rPr>
            <t>LINK</t>
          </r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2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24" customHeight="1">
      <c r="B4" s="1" t="inlineStr">
        <is>
          <r>
            <rPr>
              <rFont val="Calibri"/>
              <b val="1"/>
              <color rgb="00FFFFFF"/>
              <sz val="1400"/>
            </rPr>
            <t xml:space="preserve">Design-to-Tender Workflow  —  Pack Status Summary   </t>
          </r>
          <r>
            <rPr>
              <rFont val="Calibri"/>
              <i val="1"/>
              <color rgb="00E8792E"/>
              <sz val="1200"/>
            </rPr>
            <t>(02 July 2026)</t>
          </r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 ht="10" customHeight="1"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5" customHeight="1">
      <c r="B6" s="3" t="n"/>
    </row>
    <row r="7" ht="6" customHeight="1"/>
    <row r="8" ht="16" customHeight="1">
      <c r="B8" s="4" t="inlineStr">
        <is>
          <t>TOTAL CONTRACTS TRACKED</t>
        </is>
      </c>
      <c r="C8" s="5" t="n"/>
      <c r="D8" s="6" t="inlineStr">
        <is>
          <t>DESIGN DEVELOPMENT → TENDER</t>
        </is>
      </c>
      <c r="E8" s="7" t="n"/>
      <c r="F8" s="6" t="inlineStr">
        <is>
          <t>PROCUREMENT &amp; AWARD</t>
        </is>
      </c>
      <c r="G8" s="7" t="n"/>
      <c r="H8" s="8" t="inlineStr">
        <is>
          <t>NOT YET STARTED</t>
        </is>
      </c>
      <c r="I8" s="9" t="n"/>
      <c r="J8" s="10" t="inlineStr">
        <is>
          <t>NEEDS ATTENTION</t>
        </is>
      </c>
      <c r="K8" s="11" t="n"/>
      <c r="L8" s="12" t="inlineStr">
        <is>
          <t>AVG. PIPELINE PROGRESS</t>
        </is>
      </c>
      <c r="M8" s="13" t="n"/>
    </row>
    <row r="9" ht="22" customHeight="1">
      <c r="B9" s="14">
        <f>COUNTA(tblDTW[Contract])+COUNTA(tblFramework[Contract])</f>
        <v/>
      </c>
      <c r="C9" s="15" t="n"/>
      <c r="D9" s="16">
        <f>COUNTIFS(tblDTW[Stage No.],"&gt;=1",tblDTW[Stage No.],"&lt;=7")</f>
        <v/>
      </c>
      <c r="E9" s="15" t="n"/>
      <c r="F9" s="16">
        <f>COUNTIFS(tblDTW[Stage No.],"&gt;=8",tblDTW[Stage No.],"&lt;=11")</f>
        <v/>
      </c>
      <c r="G9" s="15" t="n"/>
      <c r="H9" s="17">
        <f>COUNTIF(tblDTW[Stage No.],0)</f>
        <v/>
      </c>
      <c r="I9" s="15" t="n"/>
      <c r="J9" s="18">
        <f>COUNTIF(tblDTW[Status],"At Risk")+COUNTIF(tblDTW[Status],"Delayed")+COUNTIF(tblFramework[Status],"At Risk")+COUNTIF(tblFramework[Status],"Delayed")</f>
        <v/>
      </c>
      <c r="K9" s="15" t="n"/>
      <c r="L9" s="19">
        <f>AVERAGE(tblDTW[Progress])</f>
        <v/>
      </c>
      <c r="M9" s="15" t="n"/>
    </row>
    <row r="10" ht="22" customHeight="1">
      <c r="B10" s="20" t="n"/>
      <c r="C10" s="21" t="n"/>
      <c r="D10" s="20" t="n"/>
      <c r="E10" s="21" t="n"/>
      <c r="F10" s="20" t="n"/>
      <c r="G10" s="21" t="n"/>
      <c r="H10" s="20" t="n"/>
      <c r="I10" s="21" t="n"/>
      <c r="J10" s="20" t="n"/>
      <c r="K10" s="21" t="n"/>
      <c r="L10" s="20" t="n"/>
      <c r="M10" s="21" t="n"/>
    </row>
    <row r="11" ht="10" customHeight="1"/>
    <row r="33">
      <c r="B33" s="22" t="inlineStr">
        <is>
          <t>Framework Contracts — Status Update</t>
        </is>
      </c>
    </row>
    <row r="34">
      <c r="B34" s="23" t="inlineStr">
        <is>
          <t>Contract</t>
        </is>
      </c>
      <c r="C34" s="23" t="inlineStr">
        <is>
          <t>Status</t>
        </is>
      </c>
      <c r="D34" s="23" t="inlineStr">
        <is>
          <t>Notes</t>
        </is>
      </c>
      <c r="E34" s="24" t="n"/>
      <c r="F34" s="24" t="n"/>
      <c r="G34" s="24" t="n"/>
      <c r="H34" s="25" t="n"/>
    </row>
    <row r="35">
      <c r="B35" s="26" t="inlineStr">
        <is>
          <t>M11</t>
        </is>
      </c>
      <c r="C35" s="27">
        <f>'Contract Tracker'!C24</f>
        <v/>
      </c>
      <c r="D35" s="27">
        <f>'Contract Tracker'!E24</f>
        <v/>
      </c>
    </row>
    <row r="36">
      <c r="B36" s="26" t="inlineStr">
        <is>
          <t>Minor Works</t>
        </is>
      </c>
      <c r="C36" s="27">
        <f>'Contract Tracker'!C25</f>
        <v/>
      </c>
      <c r="D36" s="27">
        <f>'Contract Tracker'!E25</f>
        <v/>
      </c>
    </row>
    <row r="37">
      <c r="B37" s="26" t="inlineStr">
        <is>
          <t>Baseline Monitoring</t>
        </is>
      </c>
      <c r="C37" s="27">
        <f>'Contract Tracker'!C26</f>
        <v/>
      </c>
      <c r="D37" s="27">
        <f>'Contract Tracker'!E26</f>
        <v/>
      </c>
    </row>
    <row r="38">
      <c r="B38" s="26" t="inlineStr">
        <is>
          <t>DAA</t>
        </is>
      </c>
      <c r="C38" s="27">
        <f>'Contract Tracker'!C27</f>
        <v/>
      </c>
      <c r="D38" s="27">
        <f>'Contract Tracker'!E27</f>
        <v/>
      </c>
    </row>
    <row r="41">
      <c r="B41" s="28" t="inlineStr">
        <is>
          <t>Tip: use the column filters on the Contract Tracker sheet to drill into any status, group or stage.</t>
        </is>
      </c>
    </row>
  </sheetData>
  <mergeCells count="20">
    <mergeCell ref="D35:H35"/>
    <mergeCell ref="D34:H34"/>
    <mergeCell ref="B9:C10"/>
    <mergeCell ref="D36:H36"/>
    <mergeCell ref="D9:E10"/>
    <mergeCell ref="F9:G10"/>
    <mergeCell ref="L9:M10"/>
    <mergeCell ref="L8:M8"/>
    <mergeCell ref="B8:C8"/>
    <mergeCell ref="F8:G8"/>
    <mergeCell ref="B4:O5"/>
    <mergeCell ref="D37:H37"/>
    <mergeCell ref="H9:I10"/>
    <mergeCell ref="D8:E8"/>
    <mergeCell ref="J9:K10"/>
    <mergeCell ref="B6:O6"/>
    <mergeCell ref="B2:O3"/>
    <mergeCell ref="D38:H38"/>
    <mergeCell ref="H8:I8"/>
    <mergeCell ref="J8:K8"/>
  </mergeCells>
  <conditionalFormatting sqref="C35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"At Risk"</formula>
    </cfRule>
    <cfRule type="cellIs" priority="4" operator="equal" dxfId="3">
      <formula>"Delayed"</formula>
    </cfRule>
    <cfRule type="cellIs" priority="5" operator="equal" dxfId="4">
      <formula>"Complete"</formula>
    </cfRule>
  </conditionalFormatting>
  <conditionalFormatting sqref="C36">
    <cfRule type="cellIs" priority="6" operator="equal" dxfId="0">
      <formula>"Not Started"</formula>
    </cfRule>
    <cfRule type="cellIs" priority="7" operator="equal" dxfId="1">
      <formula>"In Progress"</formula>
    </cfRule>
    <cfRule type="cellIs" priority="8" operator="equal" dxfId="2">
      <formula>"At Risk"</formula>
    </cfRule>
    <cfRule type="cellIs" priority="9" operator="equal" dxfId="3">
      <formula>"Delayed"</formula>
    </cfRule>
    <cfRule type="cellIs" priority="10" operator="equal" dxfId="4">
      <formula>"Complete"</formula>
    </cfRule>
  </conditionalFormatting>
  <conditionalFormatting sqref="C37">
    <cfRule type="cellIs" priority="11" operator="equal" dxfId="0">
      <formula>"Not Started"</formula>
    </cfRule>
    <cfRule type="cellIs" priority="12" operator="equal" dxfId="1">
      <formula>"In Progress"</formula>
    </cfRule>
    <cfRule type="cellIs" priority="13" operator="equal" dxfId="2">
      <formula>"At Risk"</formula>
    </cfRule>
    <cfRule type="cellIs" priority="14" operator="equal" dxfId="3">
      <formula>"Delayed"</formula>
    </cfRule>
    <cfRule type="cellIs" priority="15" operator="equal" dxfId="4">
      <formula>"Complete"</formula>
    </cfRule>
  </conditionalFormatting>
  <conditionalFormatting sqref="C38">
    <cfRule type="cellIs" priority="16" operator="equal" dxfId="0">
      <formula>"Not Started"</formula>
    </cfRule>
    <cfRule type="cellIs" priority="17" operator="equal" dxfId="1">
      <formula>"In Progress"</formula>
    </cfRule>
    <cfRule type="cellIs" priority="18" operator="equal" dxfId="2">
      <formula>"At Risk"</formula>
    </cfRule>
    <cfRule type="cellIs" priority="19" operator="equal" dxfId="3">
      <formula>"Delayed"</formula>
    </cfRule>
    <cfRule type="cellIs" priority="20" operator="equal" dxfId="4">
      <formula>"Complete"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C1" t="inlineStr">
        <is>
          <t>StageNo</t>
        </is>
      </c>
      <c r="E1" t="inlineStr">
        <is>
          <t>StageName</t>
        </is>
      </c>
      <c r="F1" t="inlineStr">
        <is>
          <t>StageCount</t>
        </is>
      </c>
      <c r="G1" t="inlineStr">
        <is>
          <t>StatusCount</t>
        </is>
      </c>
    </row>
    <row r="2">
      <c r="A2" t="inlineStr">
        <is>
          <t>Not Started</t>
        </is>
      </c>
      <c r="C2" t="n">
        <v>0</v>
      </c>
      <c r="E2" t="inlineStr">
        <is>
          <t>Not Yet Started</t>
        </is>
      </c>
      <c r="F2">
        <f>COUNTIF(tblDTW[Stage No.],C2)</f>
        <v/>
      </c>
      <c r="G2">
        <f>COUNTIF(tblDTW[Status],A2)+COUNTIF(tblFramework[Status],A2)</f>
        <v/>
      </c>
    </row>
    <row r="3">
      <c r="A3" t="inlineStr">
        <is>
          <t>In Progress</t>
        </is>
      </c>
      <c r="C3" t="n">
        <v>1</v>
      </c>
      <c r="E3" t="inlineStr">
        <is>
          <t>Pre-IDC Pack Issued</t>
        </is>
      </c>
      <c r="F3">
        <f>COUNTIF(tblDTW[Stage No.],C3)</f>
        <v/>
      </c>
      <c r="G3">
        <f>COUNTIF(tblDTW[Status],A3)+COUNTIF(tblFramework[Status],A3)</f>
        <v/>
      </c>
    </row>
    <row r="4">
      <c r="A4" t="inlineStr">
        <is>
          <t>At Risk</t>
        </is>
      </c>
      <c r="C4" t="n">
        <v>2</v>
      </c>
      <c r="E4" t="inlineStr">
        <is>
          <t>IDC (Inter-Disciplinary Check)</t>
        </is>
      </c>
      <c r="F4">
        <f>COUNTIF(tblDTW[Stage No.],C4)</f>
        <v/>
      </c>
      <c r="G4">
        <f>COUNTIF(tblDTW[Status],A4)+COUNTIF(tblFramework[Status],A4)</f>
        <v/>
      </c>
    </row>
    <row r="5">
      <c r="A5" t="inlineStr">
        <is>
          <t>Delayed</t>
        </is>
      </c>
      <c r="C5" t="n">
        <v>3</v>
      </c>
      <c r="E5" t="inlineStr">
        <is>
          <t>Full ITT Pack Issued – Rev 01</t>
        </is>
      </c>
      <c r="F5">
        <f>COUNTIF(tblDTW[Stage No.],C5)</f>
        <v/>
      </c>
      <c r="G5">
        <f>COUNTIF(tblDTW[Status],A5)+COUNTIF(tblFramework[Status],A5)</f>
        <v/>
      </c>
    </row>
    <row r="6">
      <c r="A6" t="inlineStr">
        <is>
          <t>Complete</t>
        </is>
      </c>
      <c r="C6" t="n">
        <v>4</v>
      </c>
      <c r="E6" t="inlineStr">
        <is>
          <t>TII Instruction to Issue C01</t>
        </is>
      </c>
      <c r="F6">
        <f>COUNTIF(tblDTW[Stage No.],C6)</f>
        <v/>
      </c>
      <c r="G6">
        <f>COUNTIF(tblDTW[Status],A6)+COUNTIF(tblFramework[Status],A6)</f>
        <v/>
      </c>
    </row>
    <row r="7">
      <c r="C7" t="n">
        <v>5</v>
      </c>
      <c r="E7" t="inlineStr">
        <is>
          <t>AWDS C01 Submission</t>
        </is>
      </c>
      <c r="F7">
        <f>COUNTIF(tblDTW[Stage No.],C7)</f>
        <v/>
      </c>
    </row>
    <row r="8">
      <c r="C8" t="n">
        <v>6</v>
      </c>
      <c r="E8" t="inlineStr">
        <is>
          <t>Ready for Tender</t>
        </is>
      </c>
      <c r="F8">
        <f>COUNTIF(tblDTW[Stage No.],C8)</f>
        <v/>
      </c>
    </row>
    <row r="9">
      <c r="C9" t="n">
        <v>7</v>
      </c>
      <c r="E9" t="inlineStr">
        <is>
          <t>ITT Issue Date</t>
        </is>
      </c>
      <c r="F9">
        <f>COUNTIF(tblDTW[Stage No.],C9)</f>
        <v/>
      </c>
    </row>
    <row r="10">
      <c r="C10" t="n">
        <v>8</v>
      </c>
      <c r="E10" t="inlineStr">
        <is>
          <t>Tender Period</t>
        </is>
      </c>
      <c r="F10">
        <f>COUNTIF(tblDTW[Stage No.],C10)</f>
        <v/>
      </c>
    </row>
    <row r="11">
      <c r="C11" t="n">
        <v>9</v>
      </c>
      <c r="E11" t="inlineStr">
        <is>
          <t>ITT Award</t>
        </is>
      </c>
      <c r="F11">
        <f>COUNTIF(tblDTW[Stage No.],C11)</f>
        <v/>
      </c>
    </row>
    <row r="12">
      <c r="C12" t="n">
        <v>10</v>
      </c>
      <c r="E12" t="inlineStr">
        <is>
          <t>Contract Award</t>
        </is>
      </c>
      <c r="F12">
        <f>COUNTIF(tblDTW[Stage No.],C12)</f>
        <v/>
      </c>
    </row>
    <row r="13">
      <c r="C13" t="n">
        <v>11</v>
      </c>
      <c r="E13" t="inlineStr">
        <is>
          <t>Construction Start</t>
        </is>
      </c>
      <c r="F13">
        <f>COUNTIF(tblDTW[Stage No.],C13)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38" customWidth="1" min="3" max="3"/>
    <col width="26" customWidth="1" min="4" max="4"/>
  </cols>
  <sheetData>
    <row r="2">
      <c r="B2" s="29" t="inlineStr">
        <is>
          <t>Design-to-Tender Workflow — Stage Reference</t>
        </is>
      </c>
    </row>
    <row r="3">
      <c r="B3" s="28" t="inlineStr">
        <is>
          <t>Used by the Contract Tracker to translate a stage number into its workflow name and phase.</t>
        </is>
      </c>
    </row>
    <row r="5">
      <c r="B5" s="23" t="inlineStr">
        <is>
          <t>Stage No.</t>
        </is>
      </c>
      <c r="C5" s="23" t="inlineStr">
        <is>
          <t>Stage Name</t>
        </is>
      </c>
      <c r="D5" s="23" t="inlineStr">
        <is>
          <t>Phase</t>
        </is>
      </c>
    </row>
    <row r="6">
      <c r="B6" s="30" t="n">
        <v>0</v>
      </c>
      <c r="C6" s="31" t="inlineStr">
        <is>
          <t>Not Yet Started</t>
        </is>
      </c>
      <c r="D6" s="31" t="inlineStr">
        <is>
          <t>Not Started</t>
        </is>
      </c>
    </row>
    <row r="7">
      <c r="B7" s="32" t="n">
        <v>1</v>
      </c>
      <c r="C7" s="33" t="inlineStr">
        <is>
          <t>Pre-IDC Pack Issued</t>
        </is>
      </c>
      <c r="D7" s="33" t="inlineStr">
        <is>
          <t>Design Development → Tender</t>
        </is>
      </c>
    </row>
    <row r="8">
      <c r="B8" s="30" t="n">
        <v>2</v>
      </c>
      <c r="C8" s="31" t="inlineStr">
        <is>
          <t>IDC (Inter-Disciplinary Check)</t>
        </is>
      </c>
      <c r="D8" s="31" t="inlineStr">
        <is>
          <t>Design Development → Tender</t>
        </is>
      </c>
    </row>
    <row r="9">
      <c r="B9" s="32" t="n">
        <v>3</v>
      </c>
      <c r="C9" s="33" t="inlineStr">
        <is>
          <t>Full ITT Pack Issued – Rev 01</t>
        </is>
      </c>
      <c r="D9" s="33" t="inlineStr">
        <is>
          <t>Design Development → Tender</t>
        </is>
      </c>
    </row>
    <row r="10">
      <c r="B10" s="30" t="n">
        <v>4</v>
      </c>
      <c r="C10" s="31" t="inlineStr">
        <is>
          <t>TII Instruction to Issue C01</t>
        </is>
      </c>
      <c r="D10" s="31" t="inlineStr">
        <is>
          <t>Design Development → Tender</t>
        </is>
      </c>
    </row>
    <row r="11">
      <c r="B11" s="32" t="n">
        <v>5</v>
      </c>
      <c r="C11" s="33" t="inlineStr">
        <is>
          <t>AWDS C01 Submission</t>
        </is>
      </c>
      <c r="D11" s="33" t="inlineStr">
        <is>
          <t>Design Development → Tender</t>
        </is>
      </c>
    </row>
    <row r="12">
      <c r="B12" s="30" t="n">
        <v>6</v>
      </c>
      <c r="C12" s="31" t="inlineStr">
        <is>
          <t>Ready for Tender</t>
        </is>
      </c>
      <c r="D12" s="31" t="inlineStr">
        <is>
          <t>Design Development → Tender</t>
        </is>
      </c>
    </row>
    <row r="13">
      <c r="B13" s="32" t="n">
        <v>7</v>
      </c>
      <c r="C13" s="33" t="inlineStr">
        <is>
          <t>ITT Issue Date</t>
        </is>
      </c>
      <c r="D13" s="33" t="inlineStr">
        <is>
          <t>Design Development → Tender</t>
        </is>
      </c>
    </row>
    <row r="14">
      <c r="B14" s="30" t="n">
        <v>8</v>
      </c>
      <c r="C14" s="31" t="inlineStr">
        <is>
          <t>Tender Period</t>
        </is>
      </c>
      <c r="D14" s="31" t="inlineStr">
        <is>
          <t>Procurement &amp; Award</t>
        </is>
      </c>
    </row>
    <row r="15">
      <c r="B15" s="32" t="n">
        <v>9</v>
      </c>
      <c r="C15" s="33" t="inlineStr">
        <is>
          <t>ITT Award</t>
        </is>
      </c>
      <c r="D15" s="33" t="inlineStr">
        <is>
          <t>Procurement &amp; Award</t>
        </is>
      </c>
    </row>
    <row r="16">
      <c r="B16" s="30" t="n">
        <v>10</v>
      </c>
      <c r="C16" s="31" t="inlineStr">
        <is>
          <t>Contract Award</t>
        </is>
      </c>
      <c r="D16" s="31" t="inlineStr">
        <is>
          <t>Procurement &amp; Award</t>
        </is>
      </c>
    </row>
    <row r="17">
      <c r="B17" s="32" t="n">
        <v>11</v>
      </c>
      <c r="C17" s="33" t="inlineStr">
        <is>
          <t>Construction Start</t>
        </is>
      </c>
      <c r="D17" s="33" t="inlineStr">
        <is>
          <t>Procurement &amp; Award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7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0" customWidth="1" min="3" max="3"/>
    <col width="10" customWidth="1" min="4" max="4"/>
    <col width="26" customWidth="1" min="5" max="5"/>
    <col width="22" customWidth="1" min="6" max="6"/>
    <col width="13" customWidth="1" min="7" max="7"/>
    <col width="11" customWidth="1" min="8" max="8"/>
    <col width="13" customWidth="1" min="9" max="9"/>
    <col width="34" customWidth="1" min="10" max="10"/>
  </cols>
  <sheetData>
    <row r="2" ht="22" customHeight="1">
      <c r="B2" s="34" t="inlineStr">
        <is>
          <t>Contract Tracker — Design-to-Tender Workflow</t>
        </is>
      </c>
    </row>
    <row r="3">
      <c r="B3" s="35" t="inlineStr">
        <is>
          <t>Select a stage and status for each contract. The Executive Dashboard updates automatically.</t>
        </is>
      </c>
    </row>
    <row r="5">
      <c r="B5" s="36" t="inlineStr">
        <is>
          <t>DTW Contracts — M14 / M13 &amp; M16</t>
        </is>
      </c>
    </row>
    <row r="6">
      <c r="B6" s="23" t="inlineStr">
        <is>
          <t>Group</t>
        </is>
      </c>
      <c r="C6" s="23" t="inlineStr">
        <is>
          <t>Contract</t>
        </is>
      </c>
      <c r="D6" s="23" t="inlineStr">
        <is>
          <t>Stage No.</t>
        </is>
      </c>
      <c r="E6" s="23" t="inlineStr">
        <is>
          <t>DTW Stage</t>
        </is>
      </c>
      <c r="F6" s="23" t="inlineStr">
        <is>
          <t>Phase</t>
        </is>
      </c>
      <c r="G6" s="23" t="inlineStr">
        <is>
          <t>Status</t>
        </is>
      </c>
      <c r="H6" s="23" t="inlineStr">
        <is>
          <t>Progress</t>
        </is>
      </c>
      <c r="I6" s="23" t="inlineStr">
        <is>
          <t>Last Updated</t>
        </is>
      </c>
      <c r="J6" s="23" t="inlineStr">
        <is>
          <t>Notes</t>
        </is>
      </c>
    </row>
    <row r="7">
      <c r="B7" s="37" t="inlineStr">
        <is>
          <t>M14</t>
        </is>
      </c>
      <c r="C7" s="37" t="inlineStr">
        <is>
          <t>M140</t>
        </is>
      </c>
      <c r="D7" s="37" t="n">
        <v>5</v>
      </c>
      <c r="E7" s="38">
        <f>IFERROR(VLOOKUP($D7,'Stage Reference'!$B$6:$D$17,2,FALSE),"—")</f>
        <v/>
      </c>
      <c r="F7" s="38">
        <f>IFERROR(VLOOKUP($D7,'Stage Reference'!$B$6:$D$17,3,FALSE),"—")</f>
        <v/>
      </c>
      <c r="G7" s="38" t="inlineStr">
        <is>
          <t>In Progress</t>
        </is>
      </c>
      <c r="H7" s="39">
        <f>$D7/11</f>
        <v/>
      </c>
      <c r="I7" s="40" t="n">
        <v>46202</v>
      </c>
      <c r="J7" s="41" t="inlineStr">
        <is>
          <t>AWDS C01 drawings submitted to TII for review</t>
        </is>
      </c>
    </row>
    <row r="8">
      <c r="B8" s="37" t="inlineStr">
        <is>
          <t>M14</t>
        </is>
      </c>
      <c r="C8" s="37" t="inlineStr">
        <is>
          <t>M141</t>
        </is>
      </c>
      <c r="D8" s="37" t="n">
        <v>1</v>
      </c>
      <c r="E8" s="38">
        <f>IFERROR(VLOOKUP($D8,'Stage Reference'!$B$6:$D$17,2,FALSE),"—")</f>
        <v/>
      </c>
      <c r="F8" s="38">
        <f>IFERROR(VLOOKUP($D8,'Stage Reference'!$B$6:$D$17,3,FALSE),"—")</f>
        <v/>
      </c>
      <c r="G8" s="38" t="inlineStr">
        <is>
          <t>In Progress</t>
        </is>
      </c>
      <c r="H8" s="39">
        <f>$D8/11</f>
        <v/>
      </c>
      <c r="I8" s="40" t="n">
        <v>46198</v>
      </c>
      <c r="J8" s="41" t="inlineStr">
        <is>
          <t>Preparing for IDC review</t>
        </is>
      </c>
    </row>
    <row r="9">
      <c r="B9" s="37" t="inlineStr">
        <is>
          <t>M14</t>
        </is>
      </c>
      <c r="C9" s="37" t="inlineStr">
        <is>
          <t>M142</t>
        </is>
      </c>
      <c r="D9" s="37" t="n">
        <v>1</v>
      </c>
      <c r="E9" s="38">
        <f>IFERROR(VLOOKUP($D9,'Stage Reference'!$B$6:$D$17,2,FALSE),"—")</f>
        <v/>
      </c>
      <c r="F9" s="38">
        <f>IFERROR(VLOOKUP($D9,'Stage Reference'!$B$6:$D$17,3,FALSE),"—")</f>
        <v/>
      </c>
      <c r="G9" s="38" t="inlineStr">
        <is>
          <t>In Progress</t>
        </is>
      </c>
      <c r="H9" s="39">
        <f>$D9/11</f>
        <v/>
      </c>
      <c r="I9" s="40" t="n">
        <v>46198</v>
      </c>
      <c r="J9" s="41" t="inlineStr">
        <is>
          <t>Preparing for IDC review</t>
        </is>
      </c>
    </row>
    <row r="10">
      <c r="B10" s="37" t="inlineStr">
        <is>
          <t>M14</t>
        </is>
      </c>
      <c r="C10" s="37" t="inlineStr">
        <is>
          <t>M145</t>
        </is>
      </c>
      <c r="D10" s="37" t="n">
        <v>5</v>
      </c>
      <c r="E10" s="38">
        <f>IFERROR(VLOOKUP($D10,'Stage Reference'!$B$6:$D$17,2,FALSE),"—")</f>
        <v/>
      </c>
      <c r="F10" s="38">
        <f>IFERROR(VLOOKUP($D10,'Stage Reference'!$B$6:$D$17,3,FALSE),"—")</f>
        <v/>
      </c>
      <c r="G10" s="38" t="inlineStr">
        <is>
          <t>At Risk</t>
        </is>
      </c>
      <c r="H10" s="39">
        <f>$D10/11</f>
        <v/>
      </c>
      <c r="I10" s="40" t="n">
        <v>46203</v>
      </c>
      <c r="J10" s="41" t="inlineStr">
        <is>
          <t>AWDS resourcing constraint – monitor submission date</t>
        </is>
      </c>
    </row>
    <row r="11">
      <c r="B11" s="37" t="inlineStr">
        <is>
          <t>M14</t>
        </is>
      </c>
      <c r="C11" s="37" t="inlineStr">
        <is>
          <t>M146</t>
        </is>
      </c>
      <c r="D11" s="37" t="n">
        <v>1</v>
      </c>
      <c r="E11" s="38">
        <f>IFERROR(VLOOKUP($D11,'Stage Reference'!$B$6:$D$17,2,FALSE),"—")</f>
        <v/>
      </c>
      <c r="F11" s="38">
        <f>IFERROR(VLOOKUP($D11,'Stage Reference'!$B$6:$D$17,3,FALSE),"—")</f>
        <v/>
      </c>
      <c r="G11" s="38" t="inlineStr">
        <is>
          <t>In Progress</t>
        </is>
      </c>
      <c r="H11" s="39">
        <f>$D11/11</f>
        <v/>
      </c>
      <c r="I11" s="40" t="n">
        <v>46199</v>
      </c>
      <c r="J11" s="41" t="inlineStr">
        <is>
          <t>Preparing for IDC review</t>
        </is>
      </c>
    </row>
    <row r="12">
      <c r="B12" s="37" t="inlineStr">
        <is>
          <t>M14</t>
        </is>
      </c>
      <c r="C12" s="37" t="inlineStr">
        <is>
          <t>M147</t>
        </is>
      </c>
      <c r="D12" s="37" t="n">
        <v>3</v>
      </c>
      <c r="E12" s="38">
        <f>IFERROR(VLOOKUP($D12,'Stage Reference'!$B$6:$D$17,2,FALSE),"—")</f>
        <v/>
      </c>
      <c r="F12" s="38">
        <f>IFERROR(VLOOKUP($D12,'Stage Reference'!$B$6:$D$17,3,FALSE),"—")</f>
        <v/>
      </c>
      <c r="G12" s="38" t="inlineStr">
        <is>
          <t>Delayed</t>
        </is>
      </c>
      <c r="H12" s="39">
        <f>$D12/11</f>
        <v/>
      </c>
      <c r="I12" s="40" t="n">
        <v>46183</v>
      </c>
      <c r="J12" s="41" t="inlineStr">
        <is>
          <t>Rev 01 issued – awaiting TII instruction to issue C01</t>
        </is>
      </c>
    </row>
    <row r="13">
      <c r="B13" s="37" t="inlineStr">
        <is>
          <t>M14</t>
        </is>
      </c>
      <c r="C13" s="37" t="inlineStr">
        <is>
          <t>M190</t>
        </is>
      </c>
      <c r="D13" s="37" t="n">
        <v>3</v>
      </c>
      <c r="E13" s="38">
        <f>IFERROR(VLOOKUP($D13,'Stage Reference'!$B$6:$D$17,2,FALSE),"—")</f>
        <v/>
      </c>
      <c r="F13" s="38">
        <f>IFERROR(VLOOKUP($D13,'Stage Reference'!$B$6:$D$17,3,FALSE),"—")</f>
        <v/>
      </c>
      <c r="G13" s="38" t="inlineStr">
        <is>
          <t>In Progress</t>
        </is>
      </c>
      <c r="H13" s="39">
        <f>$D13/11</f>
        <v/>
      </c>
      <c r="I13" s="40" t="n">
        <v>46200</v>
      </c>
      <c r="J13" s="41" t="inlineStr">
        <is>
          <t>Full ITT pack issued at Rev 01</t>
        </is>
      </c>
    </row>
    <row r="14">
      <c r="B14" s="37" t="inlineStr">
        <is>
          <t>M13 &amp; M16</t>
        </is>
      </c>
      <c r="C14" s="37" t="inlineStr">
        <is>
          <t>M130</t>
        </is>
      </c>
      <c r="D14" s="37" t="n">
        <v>0</v>
      </c>
      <c r="E14" s="38">
        <f>IFERROR(VLOOKUP($D14,'Stage Reference'!$B$6:$D$17,2,FALSE),"—")</f>
        <v/>
      </c>
      <c r="F14" s="38">
        <f>IFERROR(VLOOKUP($D14,'Stage Reference'!$B$6:$D$17,3,FALSE),"—")</f>
        <v/>
      </c>
      <c r="G14" s="38" t="inlineStr">
        <is>
          <t>Not Started</t>
        </is>
      </c>
      <c r="H14" s="39">
        <f>$D14/11</f>
        <v/>
      </c>
      <c r="I14" s="40" t="n">
        <v>46193</v>
      </c>
      <c r="J14" s="41" t="inlineStr">
        <is>
          <t>Design pack in preparation</t>
        </is>
      </c>
    </row>
    <row r="15">
      <c r="B15" s="37" t="inlineStr">
        <is>
          <t>M13 &amp; M16</t>
        </is>
      </c>
      <c r="C15" s="37" t="inlineStr">
        <is>
          <t>M135</t>
        </is>
      </c>
      <c r="D15" s="37" t="n">
        <v>3</v>
      </c>
      <c r="E15" s="38">
        <f>IFERROR(VLOOKUP($D15,'Stage Reference'!$B$6:$D$17,2,FALSE),"—")</f>
        <v/>
      </c>
      <c r="F15" s="38">
        <f>IFERROR(VLOOKUP($D15,'Stage Reference'!$B$6:$D$17,3,FALSE),"—")</f>
        <v/>
      </c>
      <c r="G15" s="38" t="inlineStr">
        <is>
          <t>In Progress</t>
        </is>
      </c>
      <c r="H15" s="39">
        <f>$D15/11</f>
        <v/>
      </c>
      <c r="I15" s="40" t="n">
        <v>46201</v>
      </c>
      <c r="J15" s="41" t="inlineStr">
        <is>
          <t>Full ITT pack issued at Rev 01</t>
        </is>
      </c>
    </row>
    <row r="16">
      <c r="B16" s="37" t="inlineStr">
        <is>
          <t>M13 &amp; M16</t>
        </is>
      </c>
      <c r="C16" s="37" t="inlineStr">
        <is>
          <t>M138</t>
        </is>
      </c>
      <c r="D16" s="37" t="n">
        <v>0</v>
      </c>
      <c r="E16" s="38">
        <f>IFERROR(VLOOKUP($D16,'Stage Reference'!$B$6:$D$17,2,FALSE),"—")</f>
        <v/>
      </c>
      <c r="F16" s="38">
        <f>IFERROR(VLOOKUP($D16,'Stage Reference'!$B$6:$D$17,3,FALSE),"—")</f>
        <v/>
      </c>
      <c r="G16" s="38" t="inlineStr">
        <is>
          <t>Not Started</t>
        </is>
      </c>
      <c r="H16" s="39">
        <f>$D16/11</f>
        <v/>
      </c>
      <c r="I16" s="40" t="n">
        <v>46193</v>
      </c>
      <c r="J16" s="41" t="inlineStr">
        <is>
          <t>Design pack in preparation</t>
        </is>
      </c>
    </row>
    <row r="17">
      <c r="B17" s="37" t="inlineStr">
        <is>
          <t>M13 &amp; M16</t>
        </is>
      </c>
      <c r="C17" s="37" t="inlineStr">
        <is>
          <t>M160</t>
        </is>
      </c>
      <c r="D17" s="37" t="n">
        <v>0</v>
      </c>
      <c r="E17" s="38">
        <f>IFERROR(VLOOKUP($D17,'Stage Reference'!$B$6:$D$17,2,FALSE),"—")</f>
        <v/>
      </c>
      <c r="F17" s="38">
        <f>IFERROR(VLOOKUP($D17,'Stage Reference'!$B$6:$D$17,3,FALSE),"—")</f>
        <v/>
      </c>
      <c r="G17" s="38" t="inlineStr">
        <is>
          <t>Not Started</t>
        </is>
      </c>
      <c r="H17" s="39">
        <f>$D17/11</f>
        <v/>
      </c>
      <c r="I17" s="40" t="n">
        <v>46193</v>
      </c>
      <c r="J17" s="41" t="inlineStr">
        <is>
          <t>Design pack in preparation</t>
        </is>
      </c>
    </row>
    <row r="18">
      <c r="B18" s="37" t="inlineStr">
        <is>
          <t>M13 &amp; M16</t>
        </is>
      </c>
      <c r="C18" s="37" t="inlineStr">
        <is>
          <t>M161</t>
        </is>
      </c>
      <c r="D18" s="37" t="n">
        <v>0</v>
      </c>
      <c r="E18" s="38">
        <f>IFERROR(VLOOKUP($D18,'Stage Reference'!$B$6:$D$17,2,FALSE),"—")</f>
        <v/>
      </c>
      <c r="F18" s="38">
        <f>IFERROR(VLOOKUP($D18,'Stage Reference'!$B$6:$D$17,3,FALSE),"—")</f>
        <v/>
      </c>
      <c r="G18" s="38" t="inlineStr">
        <is>
          <t>At Risk</t>
        </is>
      </c>
      <c r="H18" s="39">
        <f>$D18/11</f>
        <v/>
      </c>
      <c r="I18" s="40" t="n">
        <v>46203</v>
      </c>
      <c r="J18" s="41" t="inlineStr">
        <is>
          <t>Start date at risk of slipping – awaiting design brief</t>
        </is>
      </c>
    </row>
    <row r="21">
      <c r="B21" s="36" t="inlineStr">
        <is>
          <t>Framework Contracts — Non-DTW Process</t>
        </is>
      </c>
    </row>
    <row r="22">
      <c r="B22" s="28" t="inlineStr">
        <is>
          <t>*Framework contracts do not follow the numbered DTW stages — provide a status update instead.</t>
        </is>
      </c>
    </row>
    <row r="23">
      <c r="B23" s="23" t="inlineStr">
        <is>
          <t>Contract</t>
        </is>
      </c>
      <c r="C23" s="23" t="inlineStr">
        <is>
          <t>Status</t>
        </is>
      </c>
      <c r="D23" s="23" t="inlineStr">
        <is>
          <t>Last Updated</t>
        </is>
      </c>
      <c r="E23" s="23" t="inlineStr">
        <is>
          <t>Notes</t>
        </is>
      </c>
    </row>
    <row r="24">
      <c r="B24" s="37" t="inlineStr">
        <is>
          <t>M11</t>
        </is>
      </c>
      <c r="C24" s="37" t="inlineStr">
        <is>
          <t>In Progress</t>
        </is>
      </c>
      <c r="D24" s="40" t="n">
        <v>46202</v>
      </c>
      <c r="E24" s="41" t="inlineStr">
        <is>
          <t>On programme – no issues to report</t>
        </is>
      </c>
    </row>
    <row r="25">
      <c r="B25" s="37" t="inlineStr">
        <is>
          <t>Minor Works</t>
        </is>
      </c>
      <c r="C25" s="37" t="inlineStr">
        <is>
          <t>In Progress</t>
        </is>
      </c>
      <c r="D25" s="40" t="n">
        <v>46204</v>
      </c>
      <c r="E25" s="41" t="inlineStr">
        <is>
          <t>Multiple work orders in progress across the network</t>
        </is>
      </c>
    </row>
    <row r="26">
      <c r="B26" s="37" t="inlineStr">
        <is>
          <t>Baseline Monitoring</t>
        </is>
      </c>
      <c r="C26" s="37" t="inlineStr">
        <is>
          <t>Complete</t>
        </is>
      </c>
      <c r="D26" s="40" t="n">
        <v>46188</v>
      </c>
      <c r="E26" s="41" t="inlineStr">
        <is>
          <t>Baseline survey complete – monitoring ongoing</t>
        </is>
      </c>
    </row>
    <row r="27">
      <c r="B27" s="37" t="inlineStr">
        <is>
          <t>DAA</t>
        </is>
      </c>
      <c r="C27" s="37" t="inlineStr">
        <is>
          <t>At Risk</t>
        </is>
      </c>
      <c r="D27" s="40" t="n">
        <v>46203</v>
      </c>
      <c r="E27" s="41" t="inlineStr">
        <is>
          <t>Awaiting access agreement sign-off</t>
        </is>
      </c>
    </row>
  </sheetData>
  <mergeCells count="2">
    <mergeCell ref="B3:J3"/>
    <mergeCell ref="B2:J2"/>
  </mergeCells>
  <conditionalFormatting sqref="G7:G18">
    <cfRule type="cellIs" priority="1" operator="equal" dxfId="0">
      <formula>"Not Started"</formula>
    </cfRule>
    <cfRule type="cellIs" priority="3" operator="equal" dxfId="1">
      <formula>"In Progress"</formula>
    </cfRule>
    <cfRule type="cellIs" priority="5" operator="equal" dxfId="2">
      <formula>"At Risk"</formula>
    </cfRule>
    <cfRule type="cellIs" priority="7" operator="equal" dxfId="3">
      <formula>"Delayed"</formula>
    </cfRule>
    <cfRule type="cellIs" priority="9" operator="equal" dxfId="4">
      <formula>"Complete"</formula>
    </cfRule>
  </conditionalFormatting>
  <conditionalFormatting sqref="C24:C27">
    <cfRule type="cellIs" priority="2" operator="equal" dxfId="0">
      <formula>"Not Started"</formula>
    </cfRule>
    <cfRule type="cellIs" priority="4" operator="equal" dxfId="1">
      <formula>"In Progress"</formula>
    </cfRule>
    <cfRule type="cellIs" priority="6" operator="equal" dxfId="2">
      <formula>"At Risk"</formula>
    </cfRule>
    <cfRule type="cellIs" priority="8" operator="equal" dxfId="3">
      <formula>"Delayed"</formula>
    </cfRule>
    <cfRule type="cellIs" priority="10" operator="equal" dxfId="4">
      <formula>"Complete"</formula>
    </cfRule>
  </conditionalFormatting>
  <conditionalFormatting sqref="H7:H18">
    <cfRule type="dataBar" priority="11">
      <dataBar showValue="1">
        <cfvo type="num" val="0"/>
        <cfvo type="num" val="1"/>
        <color rgb="002E6FA3"/>
      </dataBar>
    </cfRule>
  </conditionalFormatting>
  <dataValidations count="3">
    <dataValidation sqref="D7:D18" showDropDown="0" showInputMessage="0" showErrorMessage="0" allowBlank="0" errorTitle="Invalid stage" error="Choose a stage number from 0 (not started) to 11 (construction start)." type="list">
      <formula1>=Lists!$C$2:$C$13</formula1>
    </dataValidation>
    <dataValidation sqref="G7:G18" showDropDown="0" showInputMessage="0" showErrorMessage="0" allowBlank="0" type="list">
      <formula1>=Lists!$A$2:$A$6</formula1>
    </dataValidation>
    <dataValidation sqref="C24:C27" showDropDown="0" showInputMessage="0" showErrorMessage="0" allowBlank="0" type="list">
      <formula1>=Lists!$A$2:$A$6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P2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3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</cols>
  <sheetData>
    <row r="2" ht="22" customHeight="1">
      <c r="B2" s="34" t="inlineStr">
        <is>
          <t>Stage Map — Where Every Contract Sits Today</t>
        </is>
      </c>
    </row>
    <row r="3">
      <c r="B3" s="35" t="inlineStr">
        <is>
          <t>Each marker shows a contract's current DTW stage, coloured by RAG status. Updates live from the Contract Tracker.</t>
        </is>
      </c>
    </row>
    <row r="5">
      <c r="B5" s="23" t="inlineStr">
        <is>
          <t>Contract</t>
        </is>
      </c>
      <c r="C5" s="23" t="inlineStr">
        <is>
          <t>Group</t>
        </is>
      </c>
      <c r="D5" s="42" t="n">
        <v>0</v>
      </c>
      <c r="E5" s="23" t="n">
        <v>1</v>
      </c>
      <c r="F5" s="23" t="n">
        <v>2</v>
      </c>
      <c r="G5" s="23" t="n">
        <v>3</v>
      </c>
      <c r="H5" s="23" t="n">
        <v>4</v>
      </c>
      <c r="I5" s="23" t="n">
        <v>5</v>
      </c>
      <c r="J5" s="23" t="n">
        <v>6</v>
      </c>
      <c r="K5" s="23" t="n">
        <v>7</v>
      </c>
      <c r="L5" s="23" t="n">
        <v>8</v>
      </c>
      <c r="M5" s="23" t="n">
        <v>9</v>
      </c>
      <c r="N5" s="23" t="n">
        <v>10</v>
      </c>
      <c r="O5" s="23" t="n">
        <v>11</v>
      </c>
    </row>
    <row r="6">
      <c r="B6" s="43" t="inlineStr">
        <is>
          <t>M140</t>
        </is>
      </c>
      <c r="C6" s="30" t="inlineStr">
        <is>
          <t>M14</t>
        </is>
      </c>
      <c r="D6" s="44">
        <f>IF(VLOOKUP($B6,'Contract Tracker'!$C:$D,2,FALSE)=0,"●","")</f>
        <v/>
      </c>
      <c r="E6" s="44">
        <f>IF(VLOOKUP($B6,'Contract Tracker'!$C:$D,2,FALSE)=1,"●","")</f>
        <v/>
      </c>
      <c r="F6" s="44">
        <f>IF(VLOOKUP($B6,'Contract Tracker'!$C:$D,2,FALSE)=2,"●","")</f>
        <v/>
      </c>
      <c r="G6" s="44">
        <f>IF(VLOOKUP($B6,'Contract Tracker'!$C:$D,2,FALSE)=3,"●","")</f>
        <v/>
      </c>
      <c r="H6" s="44">
        <f>IF(VLOOKUP($B6,'Contract Tracker'!$C:$D,2,FALSE)=4,"●","")</f>
        <v/>
      </c>
      <c r="I6" s="44">
        <f>IF(VLOOKUP($B6,'Contract Tracker'!$C:$D,2,FALSE)=5,"●","")</f>
        <v/>
      </c>
      <c r="J6" s="44">
        <f>IF(VLOOKUP($B6,'Contract Tracker'!$C:$D,2,FALSE)=6,"●","")</f>
        <v/>
      </c>
      <c r="K6" s="44">
        <f>IF(VLOOKUP($B6,'Contract Tracker'!$C:$D,2,FALSE)=7,"●","")</f>
        <v/>
      </c>
      <c r="L6" s="44">
        <f>IF(VLOOKUP($B6,'Contract Tracker'!$C:$D,2,FALSE)=8,"●","")</f>
        <v/>
      </c>
      <c r="M6" s="44">
        <f>IF(VLOOKUP($B6,'Contract Tracker'!$C:$D,2,FALSE)=9,"●","")</f>
        <v/>
      </c>
      <c r="N6" s="44">
        <f>IF(VLOOKUP($B6,'Contract Tracker'!$C:$D,2,FALSE)=10,"●","")</f>
        <v/>
      </c>
      <c r="O6" s="44">
        <f>IF(VLOOKUP($B6,'Contract Tracker'!$C:$D,2,FALSE)=11,"●","")</f>
        <v/>
      </c>
    </row>
    <row r="7">
      <c r="B7" s="45" t="inlineStr">
        <is>
          <t>M141</t>
        </is>
      </c>
      <c r="C7" s="32" t="inlineStr">
        <is>
          <t>M14</t>
        </is>
      </c>
      <c r="D7" s="46">
        <f>IF(VLOOKUP($B7,'Contract Tracker'!$C:$D,2,FALSE)=0,"●","")</f>
        <v/>
      </c>
      <c r="E7" s="46">
        <f>IF(VLOOKUP($B7,'Contract Tracker'!$C:$D,2,FALSE)=1,"●","")</f>
        <v/>
      </c>
      <c r="F7" s="46">
        <f>IF(VLOOKUP($B7,'Contract Tracker'!$C:$D,2,FALSE)=2,"●","")</f>
        <v/>
      </c>
      <c r="G7" s="46">
        <f>IF(VLOOKUP($B7,'Contract Tracker'!$C:$D,2,FALSE)=3,"●","")</f>
        <v/>
      </c>
      <c r="H7" s="46">
        <f>IF(VLOOKUP($B7,'Contract Tracker'!$C:$D,2,FALSE)=4,"●","")</f>
        <v/>
      </c>
      <c r="I7" s="46">
        <f>IF(VLOOKUP($B7,'Contract Tracker'!$C:$D,2,FALSE)=5,"●","")</f>
        <v/>
      </c>
      <c r="J7" s="46">
        <f>IF(VLOOKUP($B7,'Contract Tracker'!$C:$D,2,FALSE)=6,"●","")</f>
        <v/>
      </c>
      <c r="K7" s="46">
        <f>IF(VLOOKUP($B7,'Contract Tracker'!$C:$D,2,FALSE)=7,"●","")</f>
        <v/>
      </c>
      <c r="L7" s="46">
        <f>IF(VLOOKUP($B7,'Contract Tracker'!$C:$D,2,FALSE)=8,"●","")</f>
        <v/>
      </c>
      <c r="M7" s="46">
        <f>IF(VLOOKUP($B7,'Contract Tracker'!$C:$D,2,FALSE)=9,"●","")</f>
        <v/>
      </c>
      <c r="N7" s="46">
        <f>IF(VLOOKUP($B7,'Contract Tracker'!$C:$D,2,FALSE)=10,"●","")</f>
        <v/>
      </c>
      <c r="O7" s="46">
        <f>IF(VLOOKUP($B7,'Contract Tracker'!$C:$D,2,FALSE)=11,"●","")</f>
        <v/>
      </c>
    </row>
    <row r="8">
      <c r="B8" s="43" t="inlineStr">
        <is>
          <t>M142</t>
        </is>
      </c>
      <c r="C8" s="30" t="inlineStr">
        <is>
          <t>M14</t>
        </is>
      </c>
      <c r="D8" s="44">
        <f>IF(VLOOKUP($B8,'Contract Tracker'!$C:$D,2,FALSE)=0,"●","")</f>
        <v/>
      </c>
      <c r="E8" s="44">
        <f>IF(VLOOKUP($B8,'Contract Tracker'!$C:$D,2,FALSE)=1,"●","")</f>
        <v/>
      </c>
      <c r="F8" s="44">
        <f>IF(VLOOKUP($B8,'Contract Tracker'!$C:$D,2,FALSE)=2,"●","")</f>
        <v/>
      </c>
      <c r="G8" s="44">
        <f>IF(VLOOKUP($B8,'Contract Tracker'!$C:$D,2,FALSE)=3,"●","")</f>
        <v/>
      </c>
      <c r="H8" s="44">
        <f>IF(VLOOKUP($B8,'Contract Tracker'!$C:$D,2,FALSE)=4,"●","")</f>
        <v/>
      </c>
      <c r="I8" s="44">
        <f>IF(VLOOKUP($B8,'Contract Tracker'!$C:$D,2,FALSE)=5,"●","")</f>
        <v/>
      </c>
      <c r="J8" s="44">
        <f>IF(VLOOKUP($B8,'Contract Tracker'!$C:$D,2,FALSE)=6,"●","")</f>
        <v/>
      </c>
      <c r="K8" s="44">
        <f>IF(VLOOKUP($B8,'Contract Tracker'!$C:$D,2,FALSE)=7,"●","")</f>
        <v/>
      </c>
      <c r="L8" s="44">
        <f>IF(VLOOKUP($B8,'Contract Tracker'!$C:$D,2,FALSE)=8,"●","")</f>
        <v/>
      </c>
      <c r="M8" s="44">
        <f>IF(VLOOKUP($B8,'Contract Tracker'!$C:$D,2,FALSE)=9,"●","")</f>
        <v/>
      </c>
      <c r="N8" s="44">
        <f>IF(VLOOKUP($B8,'Contract Tracker'!$C:$D,2,FALSE)=10,"●","")</f>
        <v/>
      </c>
      <c r="O8" s="44">
        <f>IF(VLOOKUP($B8,'Contract Tracker'!$C:$D,2,FALSE)=11,"●","")</f>
        <v/>
      </c>
    </row>
    <row r="9">
      <c r="B9" s="45" t="inlineStr">
        <is>
          <t>M145</t>
        </is>
      </c>
      <c r="C9" s="32" t="inlineStr">
        <is>
          <t>M14</t>
        </is>
      </c>
      <c r="D9" s="46">
        <f>IF(VLOOKUP($B9,'Contract Tracker'!$C:$D,2,FALSE)=0,"●","")</f>
        <v/>
      </c>
      <c r="E9" s="46">
        <f>IF(VLOOKUP($B9,'Contract Tracker'!$C:$D,2,FALSE)=1,"●","")</f>
        <v/>
      </c>
      <c r="F9" s="46">
        <f>IF(VLOOKUP($B9,'Contract Tracker'!$C:$D,2,FALSE)=2,"●","")</f>
        <v/>
      </c>
      <c r="G9" s="46">
        <f>IF(VLOOKUP($B9,'Contract Tracker'!$C:$D,2,FALSE)=3,"●","")</f>
        <v/>
      </c>
      <c r="H9" s="46">
        <f>IF(VLOOKUP($B9,'Contract Tracker'!$C:$D,2,FALSE)=4,"●","")</f>
        <v/>
      </c>
      <c r="I9" s="46">
        <f>IF(VLOOKUP($B9,'Contract Tracker'!$C:$D,2,FALSE)=5,"●","")</f>
        <v/>
      </c>
      <c r="J9" s="46">
        <f>IF(VLOOKUP($B9,'Contract Tracker'!$C:$D,2,FALSE)=6,"●","")</f>
        <v/>
      </c>
      <c r="K9" s="46">
        <f>IF(VLOOKUP($B9,'Contract Tracker'!$C:$D,2,FALSE)=7,"●","")</f>
        <v/>
      </c>
      <c r="L9" s="46">
        <f>IF(VLOOKUP($B9,'Contract Tracker'!$C:$D,2,FALSE)=8,"●","")</f>
        <v/>
      </c>
      <c r="M9" s="46">
        <f>IF(VLOOKUP($B9,'Contract Tracker'!$C:$D,2,FALSE)=9,"●","")</f>
        <v/>
      </c>
      <c r="N9" s="46">
        <f>IF(VLOOKUP($B9,'Contract Tracker'!$C:$D,2,FALSE)=10,"●","")</f>
        <v/>
      </c>
      <c r="O9" s="46">
        <f>IF(VLOOKUP($B9,'Contract Tracker'!$C:$D,2,FALSE)=11,"●","")</f>
        <v/>
      </c>
    </row>
    <row r="10">
      <c r="B10" s="43" t="inlineStr">
        <is>
          <t>M146</t>
        </is>
      </c>
      <c r="C10" s="30" t="inlineStr">
        <is>
          <t>M14</t>
        </is>
      </c>
      <c r="D10" s="44">
        <f>IF(VLOOKUP($B10,'Contract Tracker'!$C:$D,2,FALSE)=0,"●","")</f>
        <v/>
      </c>
      <c r="E10" s="44">
        <f>IF(VLOOKUP($B10,'Contract Tracker'!$C:$D,2,FALSE)=1,"●","")</f>
        <v/>
      </c>
      <c r="F10" s="44">
        <f>IF(VLOOKUP($B10,'Contract Tracker'!$C:$D,2,FALSE)=2,"●","")</f>
        <v/>
      </c>
      <c r="G10" s="44">
        <f>IF(VLOOKUP($B10,'Contract Tracker'!$C:$D,2,FALSE)=3,"●","")</f>
        <v/>
      </c>
      <c r="H10" s="44">
        <f>IF(VLOOKUP($B10,'Contract Tracker'!$C:$D,2,FALSE)=4,"●","")</f>
        <v/>
      </c>
      <c r="I10" s="44">
        <f>IF(VLOOKUP($B10,'Contract Tracker'!$C:$D,2,FALSE)=5,"●","")</f>
        <v/>
      </c>
      <c r="J10" s="44">
        <f>IF(VLOOKUP($B10,'Contract Tracker'!$C:$D,2,FALSE)=6,"●","")</f>
        <v/>
      </c>
      <c r="K10" s="44">
        <f>IF(VLOOKUP($B10,'Contract Tracker'!$C:$D,2,FALSE)=7,"●","")</f>
        <v/>
      </c>
      <c r="L10" s="44">
        <f>IF(VLOOKUP($B10,'Contract Tracker'!$C:$D,2,FALSE)=8,"●","")</f>
        <v/>
      </c>
      <c r="M10" s="44">
        <f>IF(VLOOKUP($B10,'Contract Tracker'!$C:$D,2,FALSE)=9,"●","")</f>
        <v/>
      </c>
      <c r="N10" s="44">
        <f>IF(VLOOKUP($B10,'Contract Tracker'!$C:$D,2,FALSE)=10,"●","")</f>
        <v/>
      </c>
      <c r="O10" s="44">
        <f>IF(VLOOKUP($B10,'Contract Tracker'!$C:$D,2,FALSE)=11,"●","")</f>
        <v/>
      </c>
    </row>
    <row r="11">
      <c r="B11" s="45" t="inlineStr">
        <is>
          <t>M147</t>
        </is>
      </c>
      <c r="C11" s="32" t="inlineStr">
        <is>
          <t>M14</t>
        </is>
      </c>
      <c r="D11" s="46">
        <f>IF(VLOOKUP($B11,'Contract Tracker'!$C:$D,2,FALSE)=0,"●","")</f>
        <v/>
      </c>
      <c r="E11" s="46">
        <f>IF(VLOOKUP($B11,'Contract Tracker'!$C:$D,2,FALSE)=1,"●","")</f>
        <v/>
      </c>
      <c r="F11" s="46">
        <f>IF(VLOOKUP($B11,'Contract Tracker'!$C:$D,2,FALSE)=2,"●","")</f>
        <v/>
      </c>
      <c r="G11" s="46">
        <f>IF(VLOOKUP($B11,'Contract Tracker'!$C:$D,2,FALSE)=3,"●","")</f>
        <v/>
      </c>
      <c r="H11" s="46">
        <f>IF(VLOOKUP($B11,'Contract Tracker'!$C:$D,2,FALSE)=4,"●","")</f>
        <v/>
      </c>
      <c r="I11" s="46">
        <f>IF(VLOOKUP($B11,'Contract Tracker'!$C:$D,2,FALSE)=5,"●","")</f>
        <v/>
      </c>
      <c r="J11" s="46">
        <f>IF(VLOOKUP($B11,'Contract Tracker'!$C:$D,2,FALSE)=6,"●","")</f>
        <v/>
      </c>
      <c r="K11" s="46">
        <f>IF(VLOOKUP($B11,'Contract Tracker'!$C:$D,2,FALSE)=7,"●","")</f>
        <v/>
      </c>
      <c r="L11" s="46">
        <f>IF(VLOOKUP($B11,'Contract Tracker'!$C:$D,2,FALSE)=8,"●","")</f>
        <v/>
      </c>
      <c r="M11" s="46">
        <f>IF(VLOOKUP($B11,'Contract Tracker'!$C:$D,2,FALSE)=9,"●","")</f>
        <v/>
      </c>
      <c r="N11" s="46">
        <f>IF(VLOOKUP($B11,'Contract Tracker'!$C:$D,2,FALSE)=10,"●","")</f>
        <v/>
      </c>
      <c r="O11" s="46">
        <f>IF(VLOOKUP($B11,'Contract Tracker'!$C:$D,2,FALSE)=11,"●","")</f>
        <v/>
      </c>
    </row>
    <row r="12">
      <c r="B12" s="43" t="inlineStr">
        <is>
          <t>M190</t>
        </is>
      </c>
      <c r="C12" s="30" t="inlineStr">
        <is>
          <t>M14</t>
        </is>
      </c>
      <c r="D12" s="44">
        <f>IF(VLOOKUP($B12,'Contract Tracker'!$C:$D,2,FALSE)=0,"●","")</f>
        <v/>
      </c>
      <c r="E12" s="44">
        <f>IF(VLOOKUP($B12,'Contract Tracker'!$C:$D,2,FALSE)=1,"●","")</f>
        <v/>
      </c>
      <c r="F12" s="44">
        <f>IF(VLOOKUP($B12,'Contract Tracker'!$C:$D,2,FALSE)=2,"●","")</f>
        <v/>
      </c>
      <c r="G12" s="44">
        <f>IF(VLOOKUP($B12,'Contract Tracker'!$C:$D,2,FALSE)=3,"●","")</f>
        <v/>
      </c>
      <c r="H12" s="44">
        <f>IF(VLOOKUP($B12,'Contract Tracker'!$C:$D,2,FALSE)=4,"●","")</f>
        <v/>
      </c>
      <c r="I12" s="44">
        <f>IF(VLOOKUP($B12,'Contract Tracker'!$C:$D,2,FALSE)=5,"●","")</f>
        <v/>
      </c>
      <c r="J12" s="44">
        <f>IF(VLOOKUP($B12,'Contract Tracker'!$C:$D,2,FALSE)=6,"●","")</f>
        <v/>
      </c>
      <c r="K12" s="44">
        <f>IF(VLOOKUP($B12,'Contract Tracker'!$C:$D,2,FALSE)=7,"●","")</f>
        <v/>
      </c>
      <c r="L12" s="44">
        <f>IF(VLOOKUP($B12,'Contract Tracker'!$C:$D,2,FALSE)=8,"●","")</f>
        <v/>
      </c>
      <c r="M12" s="44">
        <f>IF(VLOOKUP($B12,'Contract Tracker'!$C:$D,2,FALSE)=9,"●","")</f>
        <v/>
      </c>
      <c r="N12" s="44">
        <f>IF(VLOOKUP($B12,'Contract Tracker'!$C:$D,2,FALSE)=10,"●","")</f>
        <v/>
      </c>
      <c r="O12" s="44">
        <f>IF(VLOOKUP($B12,'Contract Tracker'!$C:$D,2,FALSE)=11,"●","")</f>
        <v/>
      </c>
    </row>
    <row r="13">
      <c r="B13" s="45" t="inlineStr">
        <is>
          <t>M130</t>
        </is>
      </c>
      <c r="C13" s="32" t="inlineStr">
        <is>
          <t>M13 &amp; M16</t>
        </is>
      </c>
      <c r="D13" s="46">
        <f>IF(VLOOKUP($B13,'Contract Tracker'!$C:$D,2,FALSE)=0,"●","")</f>
        <v/>
      </c>
      <c r="E13" s="46">
        <f>IF(VLOOKUP($B13,'Contract Tracker'!$C:$D,2,FALSE)=1,"●","")</f>
        <v/>
      </c>
      <c r="F13" s="46">
        <f>IF(VLOOKUP($B13,'Contract Tracker'!$C:$D,2,FALSE)=2,"●","")</f>
        <v/>
      </c>
      <c r="G13" s="46">
        <f>IF(VLOOKUP($B13,'Contract Tracker'!$C:$D,2,FALSE)=3,"●","")</f>
        <v/>
      </c>
      <c r="H13" s="46">
        <f>IF(VLOOKUP($B13,'Contract Tracker'!$C:$D,2,FALSE)=4,"●","")</f>
        <v/>
      </c>
      <c r="I13" s="46">
        <f>IF(VLOOKUP($B13,'Contract Tracker'!$C:$D,2,FALSE)=5,"●","")</f>
        <v/>
      </c>
      <c r="J13" s="46">
        <f>IF(VLOOKUP($B13,'Contract Tracker'!$C:$D,2,FALSE)=6,"●","")</f>
        <v/>
      </c>
      <c r="K13" s="46">
        <f>IF(VLOOKUP($B13,'Contract Tracker'!$C:$D,2,FALSE)=7,"●","")</f>
        <v/>
      </c>
      <c r="L13" s="46">
        <f>IF(VLOOKUP($B13,'Contract Tracker'!$C:$D,2,FALSE)=8,"●","")</f>
        <v/>
      </c>
      <c r="M13" s="46">
        <f>IF(VLOOKUP($B13,'Contract Tracker'!$C:$D,2,FALSE)=9,"●","")</f>
        <v/>
      </c>
      <c r="N13" s="46">
        <f>IF(VLOOKUP($B13,'Contract Tracker'!$C:$D,2,FALSE)=10,"●","")</f>
        <v/>
      </c>
      <c r="O13" s="46">
        <f>IF(VLOOKUP($B13,'Contract Tracker'!$C:$D,2,FALSE)=11,"●","")</f>
        <v/>
      </c>
    </row>
    <row r="14">
      <c r="B14" s="43" t="inlineStr">
        <is>
          <t>M135</t>
        </is>
      </c>
      <c r="C14" s="30" t="inlineStr">
        <is>
          <t>M13 &amp; M16</t>
        </is>
      </c>
      <c r="D14" s="44">
        <f>IF(VLOOKUP($B14,'Contract Tracker'!$C:$D,2,FALSE)=0,"●","")</f>
        <v/>
      </c>
      <c r="E14" s="44">
        <f>IF(VLOOKUP($B14,'Contract Tracker'!$C:$D,2,FALSE)=1,"●","")</f>
        <v/>
      </c>
      <c r="F14" s="44">
        <f>IF(VLOOKUP($B14,'Contract Tracker'!$C:$D,2,FALSE)=2,"●","")</f>
        <v/>
      </c>
      <c r="G14" s="44">
        <f>IF(VLOOKUP($B14,'Contract Tracker'!$C:$D,2,FALSE)=3,"●","")</f>
        <v/>
      </c>
      <c r="H14" s="44">
        <f>IF(VLOOKUP($B14,'Contract Tracker'!$C:$D,2,FALSE)=4,"●","")</f>
        <v/>
      </c>
      <c r="I14" s="44">
        <f>IF(VLOOKUP($B14,'Contract Tracker'!$C:$D,2,FALSE)=5,"●","")</f>
        <v/>
      </c>
      <c r="J14" s="44">
        <f>IF(VLOOKUP($B14,'Contract Tracker'!$C:$D,2,FALSE)=6,"●","")</f>
        <v/>
      </c>
      <c r="K14" s="44">
        <f>IF(VLOOKUP($B14,'Contract Tracker'!$C:$D,2,FALSE)=7,"●","")</f>
        <v/>
      </c>
      <c r="L14" s="44">
        <f>IF(VLOOKUP($B14,'Contract Tracker'!$C:$D,2,FALSE)=8,"●","")</f>
        <v/>
      </c>
      <c r="M14" s="44">
        <f>IF(VLOOKUP($B14,'Contract Tracker'!$C:$D,2,FALSE)=9,"●","")</f>
        <v/>
      </c>
      <c r="N14" s="44">
        <f>IF(VLOOKUP($B14,'Contract Tracker'!$C:$D,2,FALSE)=10,"●","")</f>
        <v/>
      </c>
      <c r="O14" s="44">
        <f>IF(VLOOKUP($B14,'Contract Tracker'!$C:$D,2,FALSE)=11,"●","")</f>
        <v/>
      </c>
    </row>
    <row r="15">
      <c r="B15" s="45" t="inlineStr">
        <is>
          <t>M138</t>
        </is>
      </c>
      <c r="C15" s="32" t="inlineStr">
        <is>
          <t>M13 &amp; M16</t>
        </is>
      </c>
      <c r="D15" s="46">
        <f>IF(VLOOKUP($B15,'Contract Tracker'!$C:$D,2,FALSE)=0,"●","")</f>
        <v/>
      </c>
      <c r="E15" s="46">
        <f>IF(VLOOKUP($B15,'Contract Tracker'!$C:$D,2,FALSE)=1,"●","")</f>
        <v/>
      </c>
      <c r="F15" s="46">
        <f>IF(VLOOKUP($B15,'Contract Tracker'!$C:$D,2,FALSE)=2,"●","")</f>
        <v/>
      </c>
      <c r="G15" s="46">
        <f>IF(VLOOKUP($B15,'Contract Tracker'!$C:$D,2,FALSE)=3,"●","")</f>
        <v/>
      </c>
      <c r="H15" s="46">
        <f>IF(VLOOKUP($B15,'Contract Tracker'!$C:$D,2,FALSE)=4,"●","")</f>
        <v/>
      </c>
      <c r="I15" s="46">
        <f>IF(VLOOKUP($B15,'Contract Tracker'!$C:$D,2,FALSE)=5,"●","")</f>
        <v/>
      </c>
      <c r="J15" s="46">
        <f>IF(VLOOKUP($B15,'Contract Tracker'!$C:$D,2,FALSE)=6,"●","")</f>
        <v/>
      </c>
      <c r="K15" s="46">
        <f>IF(VLOOKUP($B15,'Contract Tracker'!$C:$D,2,FALSE)=7,"●","")</f>
        <v/>
      </c>
      <c r="L15" s="46">
        <f>IF(VLOOKUP($B15,'Contract Tracker'!$C:$D,2,FALSE)=8,"●","")</f>
        <v/>
      </c>
      <c r="M15" s="46">
        <f>IF(VLOOKUP($B15,'Contract Tracker'!$C:$D,2,FALSE)=9,"●","")</f>
        <v/>
      </c>
      <c r="N15" s="46">
        <f>IF(VLOOKUP($B15,'Contract Tracker'!$C:$D,2,FALSE)=10,"●","")</f>
        <v/>
      </c>
      <c r="O15" s="46">
        <f>IF(VLOOKUP($B15,'Contract Tracker'!$C:$D,2,FALSE)=11,"●","")</f>
        <v/>
      </c>
    </row>
    <row r="16">
      <c r="B16" s="43" t="inlineStr">
        <is>
          <t>M160</t>
        </is>
      </c>
      <c r="C16" s="30" t="inlineStr">
        <is>
          <t>M13 &amp; M16</t>
        </is>
      </c>
      <c r="D16" s="44">
        <f>IF(VLOOKUP($B16,'Contract Tracker'!$C:$D,2,FALSE)=0,"●","")</f>
        <v/>
      </c>
      <c r="E16" s="44">
        <f>IF(VLOOKUP($B16,'Contract Tracker'!$C:$D,2,FALSE)=1,"●","")</f>
        <v/>
      </c>
      <c r="F16" s="44">
        <f>IF(VLOOKUP($B16,'Contract Tracker'!$C:$D,2,FALSE)=2,"●","")</f>
        <v/>
      </c>
      <c r="G16" s="44">
        <f>IF(VLOOKUP($B16,'Contract Tracker'!$C:$D,2,FALSE)=3,"●","")</f>
        <v/>
      </c>
      <c r="H16" s="44">
        <f>IF(VLOOKUP($B16,'Contract Tracker'!$C:$D,2,FALSE)=4,"●","")</f>
        <v/>
      </c>
      <c r="I16" s="44">
        <f>IF(VLOOKUP($B16,'Contract Tracker'!$C:$D,2,FALSE)=5,"●","")</f>
        <v/>
      </c>
      <c r="J16" s="44">
        <f>IF(VLOOKUP($B16,'Contract Tracker'!$C:$D,2,FALSE)=6,"●","")</f>
        <v/>
      </c>
      <c r="K16" s="44">
        <f>IF(VLOOKUP($B16,'Contract Tracker'!$C:$D,2,FALSE)=7,"●","")</f>
        <v/>
      </c>
      <c r="L16" s="44">
        <f>IF(VLOOKUP($B16,'Contract Tracker'!$C:$D,2,FALSE)=8,"●","")</f>
        <v/>
      </c>
      <c r="M16" s="44">
        <f>IF(VLOOKUP($B16,'Contract Tracker'!$C:$D,2,FALSE)=9,"●","")</f>
        <v/>
      </c>
      <c r="N16" s="44">
        <f>IF(VLOOKUP($B16,'Contract Tracker'!$C:$D,2,FALSE)=10,"●","")</f>
        <v/>
      </c>
      <c r="O16" s="44">
        <f>IF(VLOOKUP($B16,'Contract Tracker'!$C:$D,2,FALSE)=11,"●","")</f>
        <v/>
      </c>
    </row>
    <row r="17">
      <c r="B17" s="45" t="inlineStr">
        <is>
          <t>M161</t>
        </is>
      </c>
      <c r="C17" s="32" t="inlineStr">
        <is>
          <t>M13 &amp; M16</t>
        </is>
      </c>
      <c r="D17" s="46">
        <f>IF(VLOOKUP($B17,'Contract Tracker'!$C:$D,2,FALSE)=0,"●","")</f>
        <v/>
      </c>
      <c r="E17" s="46">
        <f>IF(VLOOKUP($B17,'Contract Tracker'!$C:$D,2,FALSE)=1,"●","")</f>
        <v/>
      </c>
      <c r="F17" s="46">
        <f>IF(VLOOKUP($B17,'Contract Tracker'!$C:$D,2,FALSE)=2,"●","")</f>
        <v/>
      </c>
      <c r="G17" s="46">
        <f>IF(VLOOKUP($B17,'Contract Tracker'!$C:$D,2,FALSE)=3,"●","")</f>
        <v/>
      </c>
      <c r="H17" s="46">
        <f>IF(VLOOKUP($B17,'Contract Tracker'!$C:$D,2,FALSE)=4,"●","")</f>
        <v/>
      </c>
      <c r="I17" s="46">
        <f>IF(VLOOKUP($B17,'Contract Tracker'!$C:$D,2,FALSE)=5,"●","")</f>
        <v/>
      </c>
      <c r="J17" s="46">
        <f>IF(VLOOKUP($B17,'Contract Tracker'!$C:$D,2,FALSE)=6,"●","")</f>
        <v/>
      </c>
      <c r="K17" s="46">
        <f>IF(VLOOKUP($B17,'Contract Tracker'!$C:$D,2,FALSE)=7,"●","")</f>
        <v/>
      </c>
      <c r="L17" s="46">
        <f>IF(VLOOKUP($B17,'Contract Tracker'!$C:$D,2,FALSE)=8,"●","")</f>
        <v/>
      </c>
      <c r="M17" s="46">
        <f>IF(VLOOKUP($B17,'Contract Tracker'!$C:$D,2,FALSE)=9,"●","")</f>
        <v/>
      </c>
      <c r="N17" s="46">
        <f>IF(VLOOKUP($B17,'Contract Tracker'!$C:$D,2,FALSE)=10,"●","")</f>
        <v/>
      </c>
      <c r="O17" s="46">
        <f>IF(VLOOKUP($B17,'Contract Tracker'!$C:$D,2,FALSE)=11,"●","")</f>
        <v/>
      </c>
    </row>
    <row r="20">
      <c r="B20" s="47" t="inlineStr">
        <is>
          <t>Status:</t>
        </is>
      </c>
      <c r="C20" s="48" t="inlineStr">
        <is>
          <t xml:space="preserve">  Not Started</t>
        </is>
      </c>
      <c r="D20" s="49" t="inlineStr">
        <is>
          <t xml:space="preserve">  In Progress</t>
        </is>
      </c>
      <c r="E20" s="50" t="inlineStr">
        <is>
          <t xml:space="preserve">  At Risk</t>
        </is>
      </c>
      <c r="F20" s="51" t="inlineStr">
        <is>
          <t xml:space="preserve">  Delayed</t>
        </is>
      </c>
      <c r="G20" s="52" t="inlineStr">
        <is>
          <t xml:space="preserve">  Complete</t>
        </is>
      </c>
    </row>
  </sheetData>
  <mergeCells count="2">
    <mergeCell ref="B3:P3"/>
    <mergeCell ref="B2:P2"/>
  </mergeCells>
  <conditionalFormatting sqref="D6:O17">
    <cfRule type="expression" priority="1" dxfId="5">
      <formula>AND(D6&lt;&gt;"",VLOOKUP($B6,'Contract Tracker'!$C:$G,5,FALSE)="Not Started")</formula>
    </cfRule>
    <cfRule type="expression" priority="2" dxfId="6">
      <formula>AND(D6&lt;&gt;"",VLOOKUP($B6,'Contract Tracker'!$C:$G,5,FALSE)="In Progress")</formula>
    </cfRule>
    <cfRule type="expression" priority="3" dxfId="7">
      <formula>AND(D6&lt;&gt;"",VLOOKUP($B6,'Contract Tracker'!$C:$G,5,FALSE)="At Risk")</formula>
    </cfRule>
    <cfRule type="expression" priority="4" dxfId="8">
      <formula>AND(D6&lt;&gt;"",VLOOKUP($B6,'Contract Tracker'!$C:$G,5,FALSE)="Delayed")</formula>
    </cfRule>
    <cfRule type="expression" priority="5" dxfId="9">
      <formula>AND(D6&lt;&gt;"",VLOOKUP($B6,'Contract Tracker'!$C:$G,5,FALSE)="Complete")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2026-07-02T15:18:51Z</dcterms:created>
  <dcterms:modified xsi:type="dcterms:W3CDTF">2026-07-02T15:18:51Z</dcterms:modified>
</cp:coreProperties>
</file>