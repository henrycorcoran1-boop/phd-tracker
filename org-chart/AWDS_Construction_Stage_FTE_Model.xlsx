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ates" sheetId="2" state="visible" r:id="rId2"/>
    <sheet name="Summary" sheetId="3" state="visible" r:id="rId3"/>
    <sheet name="1 · Mgmt &amp; Contract Mgrs" sheetId="4" state="visible" r:id="rId4"/>
    <sheet name="2 · Support Staff" sheetId="5" state="visible" r:id="rId5"/>
    <sheet name="3 · Design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0B2E63"/>
      <sz val="16"/>
    </font>
    <font>
      <name val="Calibri"/>
      <i val="1"/>
      <color rgb="005B6B8C"/>
      <sz val="10"/>
    </font>
    <font>
      <name val="Calibri"/>
      <color rgb="000F1B3D"/>
      <sz val="10"/>
    </font>
    <font>
      <name val="Calibri"/>
      <b val="1"/>
      <color rgb="000B2E63"/>
      <sz val="10"/>
    </font>
    <font>
      <name val="Calibri"/>
      <b val="1"/>
      <color rgb="001F5FD6"/>
      <sz val="11"/>
    </font>
    <font>
      <name val="Calibri"/>
      <i val="1"/>
      <color rgb="005B6B8C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DCE7F8"/>
      </patternFill>
    </fill>
    <fill>
      <patternFill patternType="solid">
        <fgColor rgb="00FFF3D6"/>
      </patternFill>
    </fill>
    <fill>
      <patternFill patternType="solid">
        <fgColor rgb="001F5FD6"/>
      </patternFill>
    </fill>
    <fill>
      <patternFill patternType="solid">
        <fgColor rgb="000B2E63"/>
      </patternFill>
    </fill>
    <fill>
      <patternFill patternType="solid">
        <fgColor rgb="00EAF1FC"/>
      </patternFill>
    </fill>
    <fill>
      <patternFill patternType="solid">
        <fgColor rgb="00FBE9F2"/>
      </patternFill>
    </fill>
    <fill>
      <patternFill patternType="solid">
        <fgColor rgb="00E4F6F0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5D2EA"/>
      </left>
      <right style="thin">
        <color rgb="00C5D2EA"/>
      </right>
      <top style="thin">
        <color rgb="00C5D2EA"/>
      </top>
      <bottom style="thin">
        <color rgb="00C5D2EA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1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9" borderId="1" pivotButton="0" quotePrefix="0" xfId="0"/>
    <xf numFmtId="0" fontId="0" fillId="9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7" fillId="4" borderId="1" pivotButton="0" quotePrefix="0" xfId="0"/>
    <xf numFmtId="0" fontId="7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9" fontId="0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9" fontId="0" fillId="8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" customWidth="1" min="2" max="2"/>
    <col width="64" customWidth="1" min="3" max="3"/>
  </cols>
  <sheetData>
    <row r="1">
      <c r="A1" s="1" t="inlineStr">
        <is>
          <t>AWDS MetroLink — Construction Stage Resourcing, FTE &amp; Cost Model</t>
        </is>
      </c>
      <c r="C1" s="2" t="n"/>
    </row>
    <row r="2">
      <c r="A2" s="3" t="inlineStr">
        <is>
          <t>Assumptions &amp; basis of estimate.  Edit the gold cells on the 'Rates' tab — all sheets and the total cost update automatically.</t>
        </is>
      </c>
      <c r="C2" s="2" t="n"/>
    </row>
    <row r="3">
      <c r="C3" s="2" t="n"/>
    </row>
    <row r="4">
      <c r="A4" s="4" t="inlineStr"/>
      <c r="C4" s="5" t="inlineStr"/>
    </row>
    <row r="5">
      <c r="A5" s="6" t="inlineStr">
        <is>
          <t>KEY ASSUMPTIONS</t>
        </is>
      </c>
      <c r="B5" s="7" t="n"/>
      <c r="C5" s="8" t="inlineStr"/>
      <c r="D5" s="7" t="n"/>
      <c r="E5" s="7" t="n"/>
      <c r="F5" s="7" t="n"/>
    </row>
    <row r="6">
      <c r="A6" s="4" t="inlineStr">
        <is>
          <t>Construction-stage durations</t>
        </is>
      </c>
      <c r="C6" s="5" t="inlineStr"/>
    </row>
    <row r="7">
      <c r="A7" s="4" t="inlineStr">
        <is>
          <t xml:space="preserve">   • Management team</t>
        </is>
      </c>
      <c r="C7" s="5" t="inlineStr">
        <is>
          <t>36 months</t>
        </is>
      </c>
    </row>
    <row r="8">
      <c r="A8" s="4" t="inlineStr">
        <is>
          <t xml:space="preserve">   • Contract Managers (and their delivery team)</t>
        </is>
      </c>
      <c r="C8" s="5" t="inlineStr">
        <is>
          <t>18 months</t>
        </is>
      </c>
    </row>
    <row r="9">
      <c r="A9" s="4" t="inlineStr">
        <is>
          <t xml:space="preserve">   • Support staff</t>
        </is>
      </c>
      <c r="C9" s="5" t="inlineStr">
        <is>
          <t>18 months</t>
        </is>
      </c>
    </row>
    <row r="10">
      <c r="A10" s="4" t="inlineStr">
        <is>
          <t xml:space="preserve">   • Designers (reachback)</t>
        </is>
      </c>
      <c r="C10" s="5" t="inlineStr">
        <is>
          <t>18 months</t>
        </is>
      </c>
    </row>
    <row r="11">
      <c r="A11" s="4" t="inlineStr">
        <is>
          <t>Number of contract packages / Contract Managers</t>
        </is>
      </c>
      <c r="C11" s="5" t="inlineStr">
        <is>
          <t>16  (one per package — see note 1)</t>
        </is>
      </c>
    </row>
    <row r="12">
      <c r="A12" s="4" t="inlineStr">
        <is>
          <t>Rates &amp; hours</t>
        </is>
      </c>
      <c r="C12" s="5" t="inlineStr">
        <is>
          <t>See the 'Rates' tab (editable).</t>
        </is>
      </c>
    </row>
    <row r="13">
      <c r="A13" s="4" t="inlineStr"/>
      <c r="C13" s="5" t="inlineStr"/>
    </row>
    <row r="14">
      <c r="A14" s="6" t="inlineStr">
        <is>
          <t>DEFINITIONS</t>
        </is>
      </c>
      <c r="B14" s="7" t="n"/>
      <c r="C14" s="8" t="inlineStr"/>
      <c r="D14" s="7" t="n"/>
      <c r="E14" s="7" t="n"/>
      <c r="F14" s="7" t="n"/>
    </row>
    <row r="15">
      <c r="A15" s="4" t="inlineStr">
        <is>
          <t>FTE</t>
        </is>
      </c>
      <c r="C15" s="5" t="inlineStr">
        <is>
          <t>1.0 FTE = one full-time-equivalent person at 100% utilisation.</t>
        </is>
      </c>
    </row>
    <row r="16">
      <c r="A16" s="4" t="inlineStr">
        <is>
          <t>Utilisation %</t>
        </is>
      </c>
      <c r="C16" s="5" t="inlineStr">
        <is>
          <t>Share of a person's time spent on AWDS construction-stage work.</t>
        </is>
      </c>
    </row>
    <row r="17">
      <c r="A17" s="4" t="inlineStr">
        <is>
          <t>FTE (modelled)</t>
        </is>
      </c>
      <c r="C17" s="5">
        <f> Headcount × Utilisation %</f>
        <v/>
      </c>
    </row>
    <row r="18">
      <c r="A18" s="4" t="inlineStr">
        <is>
          <t>Effort (person-months)</t>
        </is>
      </c>
      <c r="C18" s="5">
        <f> FTE × Duration (months)</f>
        <v/>
      </c>
    </row>
    <row r="19">
      <c r="A19" s="4" t="inlineStr">
        <is>
          <t>Effort (person-years)</t>
        </is>
      </c>
      <c r="C19" s="5">
        <f> Person-months ÷ 12</f>
        <v/>
      </c>
    </row>
    <row r="20">
      <c r="A20" s="4" t="inlineStr">
        <is>
          <t>Cost (€)</t>
        </is>
      </c>
      <c r="C20" s="5">
        <f> Person-months × Hours-per-month × Rate (from 'Rates' tab)</f>
        <v/>
      </c>
    </row>
    <row r="21">
      <c r="A21" s="4" t="inlineStr"/>
      <c r="C21" s="5" t="inlineStr"/>
    </row>
    <row r="22">
      <c r="A22" s="6" t="inlineStr">
        <is>
          <t>FTE vs NON-FTE TREATMENT</t>
        </is>
      </c>
      <c r="B22" s="7" t="n"/>
      <c r="C22" s="8" t="inlineStr"/>
      <c r="D22" s="7" t="n"/>
      <c r="E22" s="7" t="n"/>
      <c r="F22" s="7" t="n"/>
    </row>
    <row r="23">
      <c r="A23" s="4" t="inlineStr">
        <is>
          <t>Management team &amp; Contract Managers</t>
        </is>
      </c>
      <c r="C23" s="5" t="inlineStr">
        <is>
          <t>Dedicated FTE — charged at the Management rate.</t>
        </is>
      </c>
    </row>
    <row r="24">
      <c r="A24" s="4" t="inlineStr">
        <is>
          <t>Support staff</t>
        </is>
      </c>
      <c r="C24" s="5" t="inlineStr">
        <is>
          <t>Shared / part-time — charged at the Support rate.</t>
        </is>
      </c>
    </row>
    <row r="25">
      <c r="A25" s="4" t="inlineStr">
        <is>
          <t>Designers</t>
        </is>
      </c>
      <c r="C25" s="5" t="inlineStr">
        <is>
          <t>Reachback / part-time — charged at the Designer rate.</t>
        </is>
      </c>
    </row>
    <row r="26">
      <c r="A26" s="4" t="inlineStr"/>
      <c r="C26" s="5" t="inlineStr"/>
    </row>
    <row r="27">
      <c r="A27" s="6" t="inlineStr">
        <is>
          <t>SCOPE CONTEXT (drives the team make-up)</t>
        </is>
      </c>
      <c r="B27" s="7" t="n"/>
      <c r="C27" s="8" t="inlineStr"/>
      <c r="D27" s="7" t="n"/>
      <c r="E27" s="7" t="n"/>
      <c r="F27" s="7" t="n"/>
    </row>
    <row r="28">
      <c r="A28" s="4" t="inlineStr">
        <is>
          <t>At construction stage the Contract Managers and their teams are NOT site supervision. Their remit is:</t>
        </is>
      </c>
      <c r="C28" s="5" t="inlineStr"/>
    </row>
    <row r="29">
      <c r="A29" s="4" t="inlineStr">
        <is>
          <t xml:space="preserve">   • Raising / tracking / closing RFIs</t>
        </is>
      </c>
      <c r="C29" s="5" t="inlineStr"/>
    </row>
    <row r="30">
      <c r="A30" s="4" t="inlineStr">
        <is>
          <t xml:space="preserve">   • Reviewing contractor design proposals</t>
        </is>
      </c>
      <c r="C30" s="5" t="inlineStr"/>
    </row>
    <row r="31">
      <c r="A31" s="4" t="inlineStr">
        <is>
          <t xml:space="preserve">   • Progress, design and coordination meetings; occasional site visits</t>
        </is>
      </c>
      <c r="C31" s="5" t="inlineStr"/>
    </row>
    <row r="32">
      <c r="A32" s="4" t="inlineStr">
        <is>
          <t xml:space="preserve">   • Meetings with utility asset owners</t>
        </is>
      </c>
      <c r="C32" s="5" t="inlineStr"/>
    </row>
    <row r="33">
      <c r="A33" s="4" t="inlineStr">
        <is>
          <t xml:space="preserve">   • Updating and managing the as-built drawings / CDE</t>
        </is>
      </c>
      <c r="C33" s="5" t="inlineStr"/>
    </row>
    <row r="34">
      <c r="A34" s="4" t="inlineStr">
        <is>
          <t xml:space="preserve">   • NEC contract administration, change and reporting</t>
        </is>
      </c>
      <c r="C34" s="5" t="inlineStr"/>
    </row>
    <row r="35">
      <c r="A35" s="4" t="inlineStr"/>
      <c r="C35" s="5" t="inlineStr"/>
    </row>
    <row r="36">
      <c r="A36" s="6" t="inlineStr">
        <is>
          <t>NOTES</t>
        </is>
      </c>
      <c r="B36" s="7" t="n"/>
      <c r="C36" s="8" t="inlineStr"/>
      <c r="D36" s="7" t="n"/>
      <c r="E36" s="7" t="n"/>
      <c r="F36" s="7" t="n"/>
    </row>
    <row r="37">
      <c r="A37" s="4" t="inlineStr">
        <is>
          <t>1.  Contract Manager headcount is taken from the management org chart (16). In practice some packages are</t>
        </is>
      </c>
      <c r="C37" s="5" t="inlineStr"/>
    </row>
    <row r="38">
      <c r="A38" s="4" t="inlineStr">
        <is>
          <t xml:space="preserve">     combined under a single Contract Manager (e.g. M140 &amp; M146), so the dedicated CM count may be lower —</t>
        </is>
      </c>
      <c r="C38" s="5" t="inlineStr"/>
    </row>
    <row r="39">
      <c r="A39" s="4" t="inlineStr">
        <is>
          <t xml:space="preserve">     edit the headcount on sheet 1 to suit.</t>
        </is>
      </c>
      <c r="C39" s="5" t="inlineStr"/>
    </row>
    <row r="40">
      <c r="A40" s="4" t="inlineStr">
        <is>
          <t>2.  Cost is labour only — excludes expenses, fee/overhead uplift and inflation.</t>
        </is>
      </c>
      <c r="C40" s="5" t="inlineStr"/>
    </row>
    <row r="41">
      <c r="A41" s="4" t="inlineStr">
        <is>
          <t>3.  Management team excludes the Procurement Lead (procurement complete by construction stage).</t>
        </is>
      </c>
      <c r="C4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" customWidth="1" min="2" max="2"/>
    <col width="16" customWidth="1" min="3" max="3"/>
    <col width="62" customWidth="1" min="4" max="4"/>
  </cols>
  <sheetData>
    <row r="1">
      <c r="A1" s="1" t="inlineStr">
        <is>
          <t>Rates &amp; Cost Inputs</t>
        </is>
      </c>
    </row>
    <row r="2">
      <c r="A2" s="3" t="inlineStr">
        <is>
          <t>Edit the gold cells below. Every sheet and the total cost recalculate automatically.</t>
        </is>
      </c>
    </row>
    <row r="5">
      <c r="A5" s="9" t="inlineStr">
        <is>
          <t>Hours per person-month</t>
        </is>
      </c>
      <c r="C5" s="10" t="n">
        <v>160</v>
      </c>
      <c r="D5" s="11" t="inlineStr">
        <is>
          <t>Working hours used to convert person-months to chargeable hours</t>
        </is>
      </c>
    </row>
    <row r="6">
      <c r="A6" s="9" t="inlineStr">
        <is>
          <t>Management rate (€/hr)</t>
        </is>
      </c>
      <c r="C6" s="12" t="n">
        <v>110</v>
      </c>
      <c r="D6" s="11" t="inlineStr">
        <is>
          <t>Applies to the Management Team and Contract Managers (FTE)</t>
        </is>
      </c>
    </row>
    <row r="7">
      <c r="A7" s="9" t="inlineStr">
        <is>
          <t>Support staff rate (€/hr)</t>
        </is>
      </c>
      <c r="C7" s="12" t="n">
        <v>50</v>
      </c>
      <c r="D7" s="11" t="inlineStr">
        <is>
          <t>Applies to all Support Staff (interface, back-office &amp; contract delivery support)</t>
        </is>
      </c>
    </row>
    <row r="8">
      <c r="A8" s="9" t="inlineStr">
        <is>
          <t>Designer rate (€/hr)</t>
        </is>
      </c>
      <c r="C8" s="12" t="n">
        <v>95</v>
      </c>
      <c r="D8" s="11" t="inlineStr">
        <is>
          <t>Applies to the Designers (reachback) team</t>
        </is>
      </c>
    </row>
    <row r="11">
      <c r="A11" s="9" t="inlineStr">
        <is>
          <t>Indicative total construction-stage cost (€)</t>
        </is>
      </c>
      <c r="C11" s="13">
        <f>'Summary'!$H$10</f>
        <v/>
      </c>
    </row>
    <row r="12">
      <c r="A12" s="14" t="inlineStr">
        <is>
          <t>(labour only — see Assumptions)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6" customWidth="1" min="4" max="4"/>
    <col width="18" customWidth="1" min="5" max="5"/>
    <col width="22" customWidth="1" min="6" max="6"/>
    <col width="20" customWidth="1" min="7" max="7"/>
    <col width="16" customWidth="1" min="8" max="8"/>
  </cols>
  <sheetData>
    <row r="1">
      <c r="A1" s="1" t="inlineStr">
        <is>
          <t>Construction Stage — Resource &amp; Cost Summary</t>
        </is>
      </c>
    </row>
    <row r="2">
      <c r="A2" s="3" t="inlineStr">
        <is>
          <t>Roll-up of all categories. Cost is driven by the editable 'Rates' tab.</t>
        </is>
      </c>
    </row>
    <row r="4">
      <c r="A4" s="15" t="inlineStr">
        <is>
          <t>Category</t>
        </is>
      </c>
      <c r="B4" s="15" t="inlineStr">
        <is>
          <t>Type</t>
        </is>
      </c>
      <c r="C4" s="15" t="inlineStr">
        <is>
          <t>Headcount</t>
        </is>
      </c>
      <c r="D4" s="15" t="inlineStr">
        <is>
          <t>FTE (modelled)</t>
        </is>
      </c>
      <c r="E4" s="15" t="inlineStr">
        <is>
          <t>Duration (months)</t>
        </is>
      </c>
      <c r="F4" s="15" t="inlineStr">
        <is>
          <t>Effort (person-months)</t>
        </is>
      </c>
      <c r="G4" s="15" t="inlineStr">
        <is>
          <t>Effort (person-years)</t>
        </is>
      </c>
      <c r="H4" s="15" t="inlineStr">
        <is>
          <t>Cost (€)</t>
        </is>
      </c>
    </row>
    <row r="5">
      <c r="A5" s="16" t="inlineStr">
        <is>
          <t>Management Team</t>
        </is>
      </c>
      <c r="B5" s="16" t="inlineStr">
        <is>
          <t>FTE (dedicated)</t>
        </is>
      </c>
      <c r="C5" s="17">
        <f>'1 · Mgmt &amp; Contract Mgrs'!B14</f>
        <v/>
      </c>
      <c r="D5" s="18">
        <f>'1 · Mgmt &amp; Contract Mgrs'!D14</f>
        <v/>
      </c>
      <c r="E5" s="17" t="n">
        <v>36</v>
      </c>
      <c r="F5" s="19">
        <f>'1 · Mgmt &amp; Contract Mgrs'!F14</f>
        <v/>
      </c>
      <c r="G5" s="19">
        <f>'1 · Mgmt &amp; Contract Mgrs'!G14</f>
        <v/>
      </c>
      <c r="H5" s="20">
        <f>'1 · Mgmt &amp; Contract Mgrs'!H14</f>
        <v/>
      </c>
    </row>
    <row r="6">
      <c r="A6" s="21" t="inlineStr">
        <is>
          <t>Contract Managers</t>
        </is>
      </c>
      <c r="B6" s="21" t="inlineStr">
        <is>
          <t>FTE (dedicated)</t>
        </is>
      </c>
      <c r="C6" s="22">
        <f>'1 · Mgmt &amp; Contract Mgrs'!B18</f>
        <v/>
      </c>
      <c r="D6" s="23">
        <f>'1 · Mgmt &amp; Contract Mgrs'!D18</f>
        <v/>
      </c>
      <c r="E6" s="22" t="n">
        <v>18</v>
      </c>
      <c r="F6" s="24">
        <f>'1 · Mgmt &amp; Contract Mgrs'!F18</f>
        <v/>
      </c>
      <c r="G6" s="24">
        <f>'1 · Mgmt &amp; Contract Mgrs'!G18</f>
        <v/>
      </c>
      <c r="H6" s="25">
        <f>'1 · Mgmt &amp; Contract Mgrs'!H18</f>
        <v/>
      </c>
    </row>
    <row r="7">
      <c r="A7" s="16" t="inlineStr">
        <is>
          <t>Contract Delivery Support</t>
        </is>
      </c>
      <c r="B7" s="16" t="inlineStr">
        <is>
          <t>Utilisation</t>
        </is>
      </c>
      <c r="C7" s="17">
        <f>'2 · Support Staff'!B12</f>
        <v/>
      </c>
      <c r="D7" s="18">
        <f>'2 · Support Staff'!D12</f>
        <v/>
      </c>
      <c r="E7" s="17" t="n">
        <v>18</v>
      </c>
      <c r="F7" s="19">
        <f>'2 · Support Staff'!F12</f>
        <v/>
      </c>
      <c r="G7" s="19">
        <f>'2 · Support Staff'!G12</f>
        <v/>
      </c>
      <c r="H7" s="20">
        <f>'2 · Support Staff'!H12</f>
        <v/>
      </c>
    </row>
    <row r="8">
      <c r="A8" s="21" t="inlineStr">
        <is>
          <t>Project Support (Interface &amp; Back-Office)</t>
        </is>
      </c>
      <c r="B8" s="21" t="inlineStr">
        <is>
          <t>Utilisation</t>
        </is>
      </c>
      <c r="C8" s="22">
        <f>'2 · Support Staff'!B36</f>
        <v/>
      </c>
      <c r="D8" s="23">
        <f>'2 · Support Staff'!D36</f>
        <v/>
      </c>
      <c r="E8" s="22" t="n">
        <v>18</v>
      </c>
      <c r="F8" s="24">
        <f>'2 · Support Staff'!F36</f>
        <v/>
      </c>
      <c r="G8" s="24">
        <f>'2 · Support Staff'!G36</f>
        <v/>
      </c>
      <c r="H8" s="25">
        <f>'2 · Support Staff'!H36</f>
        <v/>
      </c>
    </row>
    <row r="9">
      <c r="A9" s="16" t="inlineStr">
        <is>
          <t>Designers (reachback)</t>
        </is>
      </c>
      <c r="B9" s="16" t="inlineStr">
        <is>
          <t>Utilisation</t>
        </is>
      </c>
      <c r="C9" s="17">
        <f>'3 · Designers'!B16</f>
        <v/>
      </c>
      <c r="D9" s="18">
        <f>'3 · Designers'!D16</f>
        <v/>
      </c>
      <c r="E9" s="17" t="n">
        <v>18</v>
      </c>
      <c r="F9" s="19">
        <f>'3 · Designers'!F16</f>
        <v/>
      </c>
      <c r="G9" s="19">
        <f>'3 · Designers'!G16</f>
        <v/>
      </c>
      <c r="H9" s="20">
        <f>'3 · Designers'!H16</f>
        <v/>
      </c>
    </row>
    <row r="10">
      <c r="A10" s="26" t="inlineStr">
        <is>
          <t>TOTAL — Construction Stage</t>
        </is>
      </c>
      <c r="B10" s="26" t="n"/>
      <c r="C10" s="27">
        <f>SUM(C5:C9)</f>
        <v/>
      </c>
      <c r="D10" s="28">
        <f>SUM(D5:D9)</f>
        <v/>
      </c>
      <c r="E10" s="26" t="n"/>
      <c r="F10" s="29">
        <f>SUM(F5:F9)</f>
        <v/>
      </c>
      <c r="G10" s="29">
        <f>SUM(G5:G9)</f>
        <v/>
      </c>
      <c r="H10" s="13">
        <f>SUM(H5:H9)</f>
        <v/>
      </c>
    </row>
    <row r="12">
      <c r="A12" s="9" t="inlineStr">
        <is>
          <t>FTE (Management + Contract Managers)</t>
        </is>
      </c>
      <c r="D12" s="30">
        <f>D5+D6</f>
        <v/>
      </c>
    </row>
    <row r="13">
      <c r="A13" s="9" t="inlineStr">
        <is>
          <t>FTE-equivalent (Support + Designers)</t>
        </is>
      </c>
      <c r="D13" s="30">
        <f>D7+D8+D9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3" customWidth="1" min="3" max="3"/>
    <col width="8" customWidth="1" min="4" max="4"/>
    <col width="16" customWidth="1" min="5" max="5"/>
    <col width="19" customWidth="1" min="6" max="6"/>
    <col width="18" customWidth="1" min="7" max="7"/>
    <col width="14" customWidth="1" min="8" max="8"/>
    <col width="50" customWidth="1" min="9" max="9"/>
  </cols>
  <sheetData>
    <row r="1">
      <c r="A1" s="1" t="inlineStr">
        <is>
          <t>1 · Management Team &amp; Contract Managers — FTE</t>
        </is>
      </c>
    </row>
    <row r="2">
      <c r="A2" s="3" t="inlineStr">
        <is>
          <t>Dedicated full-time-equivalent resource. Charged at the Management rate (Rates tab).</t>
        </is>
      </c>
    </row>
    <row r="4">
      <c r="A4" s="15" t="inlineStr">
        <is>
          <t>Role</t>
        </is>
      </c>
      <c r="B4" s="15" t="inlineStr">
        <is>
          <t>Headcount</t>
        </is>
      </c>
      <c r="C4" s="15" t="inlineStr">
        <is>
          <t>Utilisation %</t>
        </is>
      </c>
      <c r="D4" s="15" t="inlineStr">
        <is>
          <t>FTE</t>
        </is>
      </c>
      <c r="E4" s="15" t="inlineStr">
        <is>
          <t>Duration (months)</t>
        </is>
      </c>
      <c r="F4" s="15" t="inlineStr">
        <is>
          <t>Effort (person-months)</t>
        </is>
      </c>
      <c r="G4" s="15" t="inlineStr">
        <is>
          <t>Effort (person-years)</t>
        </is>
      </c>
      <c r="H4" s="15" t="inlineStr">
        <is>
          <t>Cost (€)</t>
        </is>
      </c>
      <c r="I4" s="15" t="inlineStr">
        <is>
          <t>Basis / notes</t>
        </is>
      </c>
    </row>
    <row r="5">
      <c r="A5" s="31" t="inlineStr">
        <is>
          <t>MANAGEMENT TEAM  (36 months)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</row>
    <row r="6">
      <c r="A6" s="33" t="inlineStr">
        <is>
          <t>AWDS Project Director</t>
        </is>
      </c>
      <c r="B6" s="17" t="n">
        <v>1</v>
      </c>
      <c r="C6" s="34" t="n">
        <v>0.25</v>
      </c>
      <c r="D6" s="18">
        <f>B6*C6</f>
        <v/>
      </c>
      <c r="E6" s="17" t="n">
        <v>36</v>
      </c>
      <c r="F6" s="19">
        <f>D6*E6</f>
        <v/>
      </c>
      <c r="G6" s="19">
        <f>F6/12</f>
        <v/>
      </c>
      <c r="H6" s="20">
        <f>F6*'Rates'!$C$5*'Rates'!$C$6</f>
        <v/>
      </c>
      <c r="I6" s="35" t="inlineStr">
        <is>
          <t>Part-time senior oversight &amp; governance</t>
        </is>
      </c>
    </row>
    <row r="7">
      <c r="A7" s="33" t="inlineStr">
        <is>
          <t>AWDS Project Management Lead</t>
        </is>
      </c>
      <c r="B7" s="17" t="n">
        <v>1</v>
      </c>
      <c r="C7" s="34" t="n">
        <v>1</v>
      </c>
      <c r="D7" s="18">
        <f>B7*C7</f>
        <v/>
      </c>
      <c r="E7" s="17" t="n">
        <v>36</v>
      </c>
      <c r="F7" s="19">
        <f>D7*E7</f>
        <v/>
      </c>
      <c r="G7" s="19">
        <f>F7/12</f>
        <v/>
      </c>
      <c r="H7" s="20">
        <f>F7*'Rates'!$C$5*'Rates'!$C$6</f>
        <v/>
      </c>
      <c r="I7" s="35" t="inlineStr">
        <is>
          <t>Full-time; leads delivery across all packages</t>
        </is>
      </c>
    </row>
    <row r="8">
      <c r="A8" s="33" t="inlineStr">
        <is>
          <t>AWDS Deputy Project Manager</t>
        </is>
      </c>
      <c r="B8" s="17" t="n">
        <v>1</v>
      </c>
      <c r="C8" s="34" t="n">
        <v>1</v>
      </c>
      <c r="D8" s="18">
        <f>B8*C8</f>
        <v/>
      </c>
      <c r="E8" s="17" t="n">
        <v>36</v>
      </c>
      <c r="F8" s="19">
        <f>D8*E8</f>
        <v/>
      </c>
      <c r="G8" s="19">
        <f>F8/12</f>
        <v/>
      </c>
      <c r="H8" s="20">
        <f>F8*'Rates'!$C$5*'Rates'!$C$6</f>
        <v/>
      </c>
      <c r="I8" s="35" t="inlineStr">
        <is>
          <t>Full-time; daily operations &amp; coordination</t>
        </is>
      </c>
    </row>
    <row r="9">
      <c r="A9" s="33" t="inlineStr">
        <is>
          <t>AWDS Design Management Lead</t>
        </is>
      </c>
      <c r="B9" s="17" t="n">
        <v>1</v>
      </c>
      <c r="C9" s="34" t="n">
        <v>1</v>
      </c>
      <c r="D9" s="18">
        <f>B9*C9</f>
        <v/>
      </c>
      <c r="E9" s="17" t="n">
        <v>36</v>
      </c>
      <c r="F9" s="19">
        <f>D9*E9</f>
        <v/>
      </c>
      <c r="G9" s="19">
        <f>F9/12</f>
        <v/>
      </c>
      <c r="H9" s="20">
        <f>F9*'Rates'!$C$5*'Rates'!$C$6</f>
        <v/>
      </c>
      <c r="I9" s="35" t="inlineStr">
        <is>
          <t>Full-time; design integration &amp; reachback mgmt</t>
        </is>
      </c>
    </row>
    <row r="10">
      <c r="A10" s="33" t="inlineStr">
        <is>
          <t>AWDS PMO Lead</t>
        </is>
      </c>
      <c r="B10" s="17" t="n">
        <v>1</v>
      </c>
      <c r="C10" s="34" t="n">
        <v>1</v>
      </c>
      <c r="D10" s="18">
        <f>B10*C10</f>
        <v/>
      </c>
      <c r="E10" s="17" t="n">
        <v>36</v>
      </c>
      <c r="F10" s="19">
        <f>D10*E10</f>
        <v/>
      </c>
      <c r="G10" s="19">
        <f>F10/12</f>
        <v/>
      </c>
      <c r="H10" s="20">
        <f>F10*'Rates'!$C$5*'Rates'!$C$6</f>
        <v/>
      </c>
      <c r="I10" s="35" t="inlineStr">
        <is>
          <t>Full-time; controls, reporting, information mgmt</t>
        </is>
      </c>
    </row>
    <row r="11">
      <c r="A11" s="33" t="inlineStr">
        <is>
          <t>AWDS Technical Delivery Lead</t>
        </is>
      </c>
      <c r="B11" s="17" t="n">
        <v>1</v>
      </c>
      <c r="C11" s="34" t="n">
        <v>1</v>
      </c>
      <c r="D11" s="18">
        <f>B11*C11</f>
        <v/>
      </c>
      <c r="E11" s="17" t="n">
        <v>36</v>
      </c>
      <c r="F11" s="19">
        <f>D11*E11</f>
        <v/>
      </c>
      <c r="G11" s="19">
        <f>F11/12</f>
        <v/>
      </c>
      <c r="H11" s="20">
        <f>F11*'Rates'!$C$5*'Rates'!$C$6</f>
        <v/>
      </c>
      <c r="I11" s="35" t="inlineStr">
        <is>
          <t>Full-time; technical assurance &amp; verification</t>
        </is>
      </c>
    </row>
    <row r="12">
      <c r="A12" s="33" t="inlineStr">
        <is>
          <t>AWDS Commercial Lead</t>
        </is>
      </c>
      <c r="B12" s="17" t="n">
        <v>1</v>
      </c>
      <c r="C12" s="34" t="n">
        <v>1</v>
      </c>
      <c r="D12" s="18">
        <f>B12*C12</f>
        <v/>
      </c>
      <c r="E12" s="17" t="n">
        <v>36</v>
      </c>
      <c r="F12" s="19">
        <f>D12*E12</f>
        <v/>
      </c>
      <c r="G12" s="19">
        <f>F12/12</f>
        <v/>
      </c>
      <c r="H12" s="20">
        <f>F12*'Rates'!$C$5*'Rates'!$C$6</f>
        <v/>
      </c>
      <c r="I12" s="35" t="inlineStr">
        <is>
          <t>Full-time; NEC commercial &amp; change</t>
        </is>
      </c>
    </row>
    <row r="13">
      <c r="A13" s="33" t="inlineStr">
        <is>
          <t>AWDS Cost Management Lead</t>
        </is>
      </c>
      <c r="B13" s="17" t="n">
        <v>1</v>
      </c>
      <c r="C13" s="34" t="n">
        <v>1</v>
      </c>
      <c r="D13" s="18">
        <f>B13*C13</f>
        <v/>
      </c>
      <c r="E13" s="17" t="n">
        <v>36</v>
      </c>
      <c r="F13" s="19">
        <f>D13*E13</f>
        <v/>
      </c>
      <c r="G13" s="19">
        <f>F13/12</f>
        <v/>
      </c>
      <c r="H13" s="20">
        <f>F13*'Rates'!$C$5*'Rates'!$C$6</f>
        <v/>
      </c>
      <c r="I13" s="35" t="inlineStr">
        <is>
          <t>Full-time; cost control &amp; forecasting</t>
        </is>
      </c>
    </row>
    <row r="14">
      <c r="A14" s="36" t="inlineStr">
        <is>
          <t xml:space="preserve">   Subtotal — MANAGEMENT TEAM  (36 months)</t>
        </is>
      </c>
      <c r="B14" s="37">
        <f>SUM(B6:B13)</f>
        <v/>
      </c>
      <c r="C14" s="36" t="n"/>
      <c r="D14" s="38">
        <f>SUM(D6:D13)</f>
        <v/>
      </c>
      <c r="E14" s="36" t="n"/>
      <c r="F14" s="39">
        <f>SUM(F6:F13)</f>
        <v/>
      </c>
      <c r="G14" s="39">
        <f>SUM(G6:G13)</f>
        <v/>
      </c>
      <c r="H14" s="40">
        <f>SUM(H6:H13)</f>
        <v/>
      </c>
      <c r="I14" s="36" t="n"/>
    </row>
    <row r="16">
      <c r="A16" s="31" t="inlineStr">
        <is>
          <t>CONTRACT MANAGERS  (18 months)</t>
        </is>
      </c>
      <c r="B16" s="32" t="n"/>
      <c r="C16" s="32" t="n"/>
      <c r="D16" s="32" t="n"/>
      <c r="E16" s="32" t="n"/>
      <c r="F16" s="32" t="n"/>
      <c r="G16" s="32" t="n"/>
      <c r="H16" s="32" t="n"/>
      <c r="I16" s="32" t="n"/>
    </row>
    <row r="17">
      <c r="A17" s="33" t="inlineStr">
        <is>
          <t>AWDS Contract Manager (one per package)</t>
        </is>
      </c>
      <c r="B17" s="17" t="n">
        <v>16</v>
      </c>
      <c r="C17" s="34" t="n">
        <v>1</v>
      </c>
      <c r="D17" s="18">
        <f>B17*C17</f>
        <v/>
      </c>
      <c r="E17" s="17" t="n">
        <v>18</v>
      </c>
      <c r="F17" s="19">
        <f>D17*E17</f>
        <v/>
      </c>
      <c r="G17" s="19">
        <f>F17/12</f>
        <v/>
      </c>
      <c r="H17" s="20">
        <f>F17*'Rates'!$C$5*'Rates'!$C$6</f>
        <v/>
      </c>
      <c r="I17" s="35" t="inlineStr">
        <is>
          <t>Package PM: RFIs, contractor &amp; utility-owner meetings, design-proposal review, as-builts, NEC admin</t>
        </is>
      </c>
    </row>
    <row r="18">
      <c r="A18" s="36" t="inlineStr">
        <is>
          <t xml:space="preserve">   Subtotal — CONTRACT MANAGERS  (18 months)</t>
        </is>
      </c>
      <c r="B18" s="37">
        <f>SUM(B17:B17)</f>
        <v/>
      </c>
      <c r="C18" s="36" t="n"/>
      <c r="D18" s="38">
        <f>SUM(D17:D17)</f>
        <v/>
      </c>
      <c r="E18" s="36" t="n"/>
      <c r="F18" s="39">
        <f>SUM(F17:F17)</f>
        <v/>
      </c>
      <c r="G18" s="39">
        <f>SUM(G17:G17)</f>
        <v/>
      </c>
      <c r="H18" s="40">
        <f>SUM(H17:H17)</f>
        <v/>
      </c>
      <c r="I18" s="36" t="n"/>
    </row>
    <row r="20">
      <c r="A20" s="26" t="inlineStr">
        <is>
          <t>TOTAL</t>
        </is>
      </c>
      <c r="B20" s="27">
        <f>B14+B18</f>
        <v/>
      </c>
      <c r="C20" s="27" t="n"/>
      <c r="D20" s="28">
        <f>D14+D18</f>
        <v/>
      </c>
      <c r="E20" s="27" t="n"/>
      <c r="F20" s="29">
        <f>F14+F18</f>
        <v/>
      </c>
      <c r="G20" s="29">
        <f>G14+G18</f>
        <v/>
      </c>
      <c r="H20" s="13">
        <f>H14+H18</f>
        <v/>
      </c>
      <c r="I20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3" customWidth="1" min="3" max="3"/>
    <col width="8" customWidth="1" min="4" max="4"/>
    <col width="16" customWidth="1" min="5" max="5"/>
    <col width="19" customWidth="1" min="6" max="6"/>
    <col width="18" customWidth="1" min="7" max="7"/>
    <col width="14" customWidth="1" min="8" max="8"/>
    <col width="50" customWidth="1" min="9" max="9"/>
  </cols>
  <sheetData>
    <row r="1">
      <c r="A1" s="1" t="inlineStr">
        <is>
          <t>2 · Support Staff — utilisation-based (non-FTE)</t>
        </is>
      </c>
    </row>
    <row r="2">
      <c r="A2" s="3" t="inlineStr">
        <is>
          <t>Shared / part-time resources. Charged at the Support rate (Rates tab).</t>
        </is>
      </c>
    </row>
    <row r="4">
      <c r="A4" s="15" t="inlineStr">
        <is>
          <t>Role</t>
        </is>
      </c>
      <c r="B4" s="15" t="inlineStr">
        <is>
          <t>Headcount</t>
        </is>
      </c>
      <c r="C4" s="15" t="inlineStr">
        <is>
          <t>Utilisation %</t>
        </is>
      </c>
      <c r="D4" s="15" t="inlineStr">
        <is>
          <t>FTE</t>
        </is>
      </c>
      <c r="E4" s="15" t="inlineStr">
        <is>
          <t>Duration (months)</t>
        </is>
      </c>
      <c r="F4" s="15" t="inlineStr">
        <is>
          <t>Effort (person-months)</t>
        </is>
      </c>
      <c r="G4" s="15" t="inlineStr">
        <is>
          <t>Effort (person-years)</t>
        </is>
      </c>
      <c r="H4" s="15" t="inlineStr">
        <is>
          <t>Cost (€)</t>
        </is>
      </c>
      <c r="I4" s="15" t="inlineStr">
        <is>
          <t>Basis / notes</t>
        </is>
      </c>
    </row>
    <row r="5">
      <c r="A5" s="31" t="inlineStr">
        <is>
          <t>CONTRACT DELIVERY SUPPORT  (team around the Contract Managers, 18 months)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</row>
    <row r="6">
      <c r="A6" s="41" t="inlineStr">
        <is>
          <t>Contracts / Technical Engineer</t>
        </is>
      </c>
      <c r="B6" s="42" t="n">
        <v>8</v>
      </c>
      <c r="C6" s="43" t="n">
        <v>0.75</v>
      </c>
      <c r="D6" s="44">
        <f>B6*C6</f>
        <v/>
      </c>
      <c r="E6" s="42" t="n">
        <v>18</v>
      </c>
      <c r="F6" s="45">
        <f>D6*E6</f>
        <v/>
      </c>
      <c r="G6" s="45">
        <f>F6/12</f>
        <v/>
      </c>
      <c r="H6" s="46">
        <f>F6*'Rates'!$C$5*'Rates'!$C$7</f>
        <v/>
      </c>
      <c r="I6" s="47" t="inlineStr">
        <is>
          <t>Reviews contractor design proposals, raises/closes RFIs, technical correspondence (~1 per 2 packages)</t>
        </is>
      </c>
    </row>
    <row r="7">
      <c r="A7" s="41" t="inlineStr">
        <is>
          <t>Document Controller / As-Built Coordinator</t>
        </is>
      </c>
      <c r="B7" s="42" t="n">
        <v>4</v>
      </c>
      <c r="C7" s="43" t="n">
        <v>0.6</v>
      </c>
      <c r="D7" s="44">
        <f>B7*C7</f>
        <v/>
      </c>
      <c r="E7" s="42" t="n">
        <v>18</v>
      </c>
      <c r="F7" s="45">
        <f>D7*E7</f>
        <v/>
      </c>
      <c r="G7" s="45">
        <f>F7/12</f>
        <v/>
      </c>
      <c r="H7" s="46">
        <f>F7*'Rates'!$C$5*'Rates'!$C$7</f>
        <v/>
      </c>
      <c r="I7" s="47" t="inlineStr">
        <is>
          <t>Manages &amp; updates as-built drawings and CDE (~1 per 4 packages)</t>
        </is>
      </c>
    </row>
    <row r="8">
      <c r="A8" s="41" t="inlineStr">
        <is>
          <t>Quantity Surveyor / Commercial Support</t>
        </is>
      </c>
      <c r="B8" s="42" t="n">
        <v>4</v>
      </c>
      <c r="C8" s="43" t="n">
        <v>0.6</v>
      </c>
      <c r="D8" s="44">
        <f>B8*C8</f>
        <v/>
      </c>
      <c r="E8" s="42" t="n">
        <v>18</v>
      </c>
      <c r="F8" s="45">
        <f>D8*E8</f>
        <v/>
      </c>
      <c r="G8" s="45">
        <f>F8/12</f>
        <v/>
      </c>
      <c r="H8" s="46">
        <f>F8*'Rates'!$C$5*'Rates'!$C$7</f>
        <v/>
      </c>
      <c r="I8" s="47" t="inlineStr">
        <is>
          <t>NEC change, valuations and payment support (~1 per 4 packages)</t>
        </is>
      </c>
    </row>
    <row r="9">
      <c r="A9" s="41" t="inlineStr">
        <is>
          <t>Utilities Liaison Coordinator</t>
        </is>
      </c>
      <c r="B9" s="42" t="n">
        <v>2</v>
      </c>
      <c r="C9" s="43" t="n">
        <v>0.5</v>
      </c>
      <c r="D9" s="44">
        <f>B9*C9</f>
        <v/>
      </c>
      <c r="E9" s="42" t="n">
        <v>18</v>
      </c>
      <c r="F9" s="45">
        <f>D9*E9</f>
        <v/>
      </c>
      <c r="G9" s="45">
        <f>F9/12</f>
        <v/>
      </c>
      <c r="H9" s="46">
        <f>F9*'Rates'!$C$5*'Rates'!$C$7</f>
        <v/>
      </c>
      <c r="I9" s="47" t="inlineStr">
        <is>
          <t>Meetings &amp; coordination with utility asset owners</t>
        </is>
      </c>
    </row>
    <row r="10">
      <c r="A10" s="41" t="inlineStr">
        <is>
          <t>CEMP / Environmental Coordinator</t>
        </is>
      </c>
      <c r="B10" s="42" t="n">
        <v>2</v>
      </c>
      <c r="C10" s="43" t="n">
        <v>0.4</v>
      </c>
      <c r="D10" s="44">
        <f>B10*C10</f>
        <v/>
      </c>
      <c r="E10" s="42" t="n">
        <v>18</v>
      </c>
      <c r="F10" s="45">
        <f>D10*E10</f>
        <v/>
      </c>
      <c r="G10" s="45">
        <f>F10/12</f>
        <v/>
      </c>
      <c r="H10" s="46">
        <f>F10*'Rates'!$C$5*'Rates'!$C$7</f>
        <v/>
      </c>
      <c r="I10" s="47" t="inlineStr">
        <is>
          <t>Environmental compliance and CEMP across packages</t>
        </is>
      </c>
    </row>
    <row r="11">
      <c r="A11" s="41" t="inlineStr">
        <is>
          <t>Planner / Scheduler (package)</t>
        </is>
      </c>
      <c r="B11" s="42" t="n">
        <v>2</v>
      </c>
      <c r="C11" s="43" t="n">
        <v>0.5</v>
      </c>
      <c r="D11" s="44">
        <f>B11*C11</f>
        <v/>
      </c>
      <c r="E11" s="42" t="n">
        <v>18</v>
      </c>
      <c r="F11" s="45">
        <f>D11*E11</f>
        <v/>
      </c>
      <c r="G11" s="45">
        <f>F11/12</f>
        <v/>
      </c>
      <c r="H11" s="46">
        <f>F11*'Rates'!$C$5*'Rates'!$C$7</f>
        <v/>
      </c>
      <c r="I11" s="47" t="inlineStr">
        <is>
          <t>Programme tracking at package level</t>
        </is>
      </c>
    </row>
    <row r="12">
      <c r="A12" s="36" t="inlineStr">
        <is>
          <t xml:space="preserve">   Subtotal — CONTRACT DELIVERY SUPPORT  (team around the Contract Managers, 18 months)</t>
        </is>
      </c>
      <c r="B12" s="37">
        <f>SUM(B6:B11)</f>
        <v/>
      </c>
      <c r="C12" s="36" t="n"/>
      <c r="D12" s="38">
        <f>SUM(D6:D11)</f>
        <v/>
      </c>
      <c r="E12" s="36" t="n"/>
      <c r="F12" s="39">
        <f>SUM(F6:F11)</f>
        <v/>
      </c>
      <c r="G12" s="39">
        <f>SUM(G6:G11)</f>
        <v/>
      </c>
      <c r="H12" s="40">
        <f>SUM(H6:H11)</f>
        <v/>
      </c>
      <c r="I12" s="36" t="n"/>
    </row>
    <row r="14">
      <c r="A14" s="31" t="inlineStr">
        <is>
          <t>PROJECT SUPPORT — Interface &amp; Back-Office  (18 months)</t>
        </is>
      </c>
      <c r="B14" s="32" t="n"/>
      <c r="C14" s="32" t="n"/>
      <c r="D14" s="32" t="n"/>
      <c r="E14" s="32" t="n"/>
      <c r="F14" s="32" t="n"/>
      <c r="G14" s="32" t="n"/>
      <c r="H14" s="32" t="n"/>
      <c r="I14" s="32" t="n"/>
    </row>
    <row r="15">
      <c r="A15" s="48" t="inlineStr">
        <is>
          <t>BIM Manager</t>
        </is>
      </c>
      <c r="B15" s="49" t="n">
        <v>1</v>
      </c>
      <c r="C15" s="50" t="n">
        <v>0.5</v>
      </c>
      <c r="D15" s="51">
        <f>B15*C15</f>
        <v/>
      </c>
      <c r="E15" s="49" t="n">
        <v>18</v>
      </c>
      <c r="F15" s="52">
        <f>D15*E15</f>
        <v/>
      </c>
      <c r="G15" s="52">
        <f>F15/12</f>
        <v/>
      </c>
      <c r="H15" s="53">
        <f>F15*'Rates'!$C$5*'Rates'!$C$7</f>
        <v/>
      </c>
      <c r="I15" s="54" t="inlineStr">
        <is>
          <t>Shared across programme</t>
        </is>
      </c>
    </row>
    <row r="16">
      <c r="A16" s="48" t="inlineStr">
        <is>
          <t>Deputy BIM Manager</t>
        </is>
      </c>
      <c r="B16" s="49" t="n">
        <v>1</v>
      </c>
      <c r="C16" s="50" t="n">
        <v>0.5</v>
      </c>
      <c r="D16" s="51">
        <f>B16*C16</f>
        <v/>
      </c>
      <c r="E16" s="49" t="n">
        <v>18</v>
      </c>
      <c r="F16" s="52">
        <f>D16*E16</f>
        <v/>
      </c>
      <c r="G16" s="52">
        <f>F16/12</f>
        <v/>
      </c>
      <c r="H16" s="53">
        <f>F16*'Rates'!$C$5*'Rates'!$C$7</f>
        <v/>
      </c>
      <c r="I16" s="54" t="inlineStr"/>
    </row>
    <row r="17">
      <c r="A17" s="48" t="inlineStr">
        <is>
          <t>Information Manager</t>
        </is>
      </c>
      <c r="B17" s="49" t="n">
        <v>1</v>
      </c>
      <c r="C17" s="50" t="n">
        <v>0.5</v>
      </c>
      <c r="D17" s="51">
        <f>B17*C17</f>
        <v/>
      </c>
      <c r="E17" s="49" t="n">
        <v>18</v>
      </c>
      <c r="F17" s="52">
        <f>D17*E17</f>
        <v/>
      </c>
      <c r="G17" s="52">
        <f>F17/12</f>
        <v/>
      </c>
      <c r="H17" s="53">
        <f>F17*'Rates'!$C$5*'Rates'!$C$7</f>
        <v/>
      </c>
      <c r="I17" s="54" t="inlineStr"/>
    </row>
    <row r="18">
      <c r="A18" s="48" t="inlineStr">
        <is>
          <t>Deputy Information Manager</t>
        </is>
      </c>
      <c r="B18" s="49" t="n">
        <v>1</v>
      </c>
      <c r="C18" s="50" t="n">
        <v>0.4</v>
      </c>
      <c r="D18" s="51">
        <f>B18*C18</f>
        <v/>
      </c>
      <c r="E18" s="49" t="n">
        <v>18</v>
      </c>
      <c r="F18" s="52">
        <f>D18*E18</f>
        <v/>
      </c>
      <c r="G18" s="52">
        <f>F18/12</f>
        <v/>
      </c>
      <c r="H18" s="53">
        <f>F18*'Rates'!$C$5*'Rates'!$C$7</f>
        <v/>
      </c>
      <c r="I18" s="54" t="inlineStr"/>
    </row>
    <row r="19">
      <c r="A19" s="48" t="inlineStr">
        <is>
          <t>Senior GIS Consultant</t>
        </is>
      </c>
      <c r="B19" s="49" t="n">
        <v>1</v>
      </c>
      <c r="C19" s="50" t="n">
        <v>0.3</v>
      </c>
      <c r="D19" s="51">
        <f>B19*C19</f>
        <v/>
      </c>
      <c r="E19" s="49" t="n">
        <v>18</v>
      </c>
      <c r="F19" s="52">
        <f>D19*E19</f>
        <v/>
      </c>
      <c r="G19" s="52">
        <f>F19/12</f>
        <v/>
      </c>
      <c r="H19" s="53">
        <f>F19*'Rates'!$C$5*'Rates'!$C$7</f>
        <v/>
      </c>
      <c r="I19" s="54" t="inlineStr">
        <is>
          <t>On-demand</t>
        </is>
      </c>
    </row>
    <row r="20">
      <c r="A20" s="48" t="inlineStr">
        <is>
          <t>Senior GIS Analyst</t>
        </is>
      </c>
      <c r="B20" s="49" t="n">
        <v>1</v>
      </c>
      <c r="C20" s="50" t="n">
        <v>0.4</v>
      </c>
      <c r="D20" s="51">
        <f>B20*C20</f>
        <v/>
      </c>
      <c r="E20" s="49" t="n">
        <v>18</v>
      </c>
      <c r="F20" s="52">
        <f>D20*E20</f>
        <v/>
      </c>
      <c r="G20" s="52">
        <f>F20/12</f>
        <v/>
      </c>
      <c r="H20" s="53">
        <f>F20*'Rates'!$C$5*'Rates'!$C$7</f>
        <v/>
      </c>
      <c r="I20" s="54" t="inlineStr"/>
    </row>
    <row r="21">
      <c r="A21" s="48" t="inlineStr">
        <is>
          <t>Surveys Coordinator</t>
        </is>
      </c>
      <c r="B21" s="49" t="n">
        <v>1</v>
      </c>
      <c r="C21" s="50" t="n">
        <v>0.3</v>
      </c>
      <c r="D21" s="51">
        <f>B21*C21</f>
        <v/>
      </c>
      <c r="E21" s="49" t="n">
        <v>18</v>
      </c>
      <c r="F21" s="52">
        <f>D21*E21</f>
        <v/>
      </c>
      <c r="G21" s="52">
        <f>F21/12</f>
        <v/>
      </c>
      <c r="H21" s="53">
        <f>F21*'Rates'!$C$5*'Rates'!$C$7</f>
        <v/>
      </c>
      <c r="I21" s="54" t="inlineStr">
        <is>
          <t>Ad-hoc survey requests</t>
        </is>
      </c>
    </row>
    <row r="22">
      <c r="A22" s="48" t="inlineStr">
        <is>
          <t>CDE Document Controller (project)</t>
        </is>
      </c>
      <c r="B22" s="49" t="n">
        <v>1</v>
      </c>
      <c r="C22" s="50" t="n">
        <v>0.7</v>
      </c>
      <c r="D22" s="51">
        <f>B22*C22</f>
        <v/>
      </c>
      <c r="E22" s="49" t="n">
        <v>18</v>
      </c>
      <c r="F22" s="52">
        <f>D22*E22</f>
        <v/>
      </c>
      <c r="G22" s="52">
        <f>F22/12</f>
        <v/>
      </c>
      <c r="H22" s="53">
        <f>F22*'Rates'!$C$5*'Rates'!$C$7</f>
        <v/>
      </c>
      <c r="I22" s="54" t="inlineStr">
        <is>
          <t>Project-wide CDE</t>
        </is>
      </c>
    </row>
    <row r="23">
      <c r="A23" s="48" t="inlineStr">
        <is>
          <t>BusConnects Interface</t>
        </is>
      </c>
      <c r="B23" s="49" t="n">
        <v>1</v>
      </c>
      <c r="C23" s="50" t="n">
        <v>0.2</v>
      </c>
      <c r="D23" s="51">
        <f>B23*C23</f>
        <v/>
      </c>
      <c r="E23" s="49" t="n">
        <v>18</v>
      </c>
      <c r="F23" s="52">
        <f>D23*E23</f>
        <v/>
      </c>
      <c r="G23" s="52">
        <f>F23/12</f>
        <v/>
      </c>
      <c r="H23" s="53">
        <f>F23*'Rates'!$C$5*'Rates'!$C$7</f>
        <v/>
      </c>
      <c r="I23" s="54" t="inlineStr">
        <is>
          <t>Interface management</t>
        </is>
      </c>
    </row>
    <row r="24">
      <c r="A24" s="48" t="inlineStr">
        <is>
          <t>DAA Interface</t>
        </is>
      </c>
      <c r="B24" s="49" t="n">
        <v>1</v>
      </c>
      <c r="C24" s="50" t="n">
        <v>0.2</v>
      </c>
      <c r="D24" s="51">
        <f>B24*C24</f>
        <v/>
      </c>
      <c r="E24" s="49" t="n">
        <v>18</v>
      </c>
      <c r="F24" s="52">
        <f>D24*E24</f>
        <v/>
      </c>
      <c r="G24" s="52">
        <f>F24/12</f>
        <v/>
      </c>
      <c r="H24" s="53">
        <f>F24*'Rates'!$C$5*'Rates'!$C$7</f>
        <v/>
      </c>
      <c r="I24" s="54" t="inlineStr">
        <is>
          <t>Interface management</t>
        </is>
      </c>
    </row>
    <row r="25">
      <c r="A25" s="48" t="inlineStr">
        <is>
          <t>UAO Engagement Team</t>
        </is>
      </c>
      <c r="B25" s="49" t="n">
        <v>2</v>
      </c>
      <c r="C25" s="50" t="n">
        <v>0.3</v>
      </c>
      <c r="D25" s="51">
        <f>B25*C25</f>
        <v/>
      </c>
      <c r="E25" s="49" t="n">
        <v>18</v>
      </c>
      <c r="F25" s="52">
        <f>D25*E25</f>
        <v/>
      </c>
      <c r="G25" s="52">
        <f>F25/12</f>
        <v/>
      </c>
      <c r="H25" s="53">
        <f>F25*'Rates'!$C$5*'Rates'!$C$7</f>
        <v/>
      </c>
      <c r="I25" s="54" t="inlineStr">
        <is>
          <t>Utility/asset-owner engagement</t>
        </is>
      </c>
    </row>
    <row r="26">
      <c r="A26" s="48" t="inlineStr">
        <is>
          <t>Administrator</t>
        </is>
      </c>
      <c r="B26" s="49" t="n">
        <v>2</v>
      </c>
      <c r="C26" s="50" t="n">
        <v>0.8</v>
      </c>
      <c r="D26" s="51">
        <f>B26*C26</f>
        <v/>
      </c>
      <c r="E26" s="49" t="n">
        <v>18</v>
      </c>
      <c r="F26" s="52">
        <f>D26*E26</f>
        <v/>
      </c>
      <c r="G26" s="52">
        <f>F26/12</f>
        <v/>
      </c>
      <c r="H26" s="53">
        <f>F26*'Rates'!$C$5*'Rates'!$C$7</f>
        <v/>
      </c>
      <c r="I26" s="54" t="inlineStr">
        <is>
          <t>Team &amp; document admin</t>
        </is>
      </c>
    </row>
    <row r="27">
      <c r="A27" s="48" t="inlineStr">
        <is>
          <t>Health &amp; Safety Advisor</t>
        </is>
      </c>
      <c r="B27" s="49" t="n">
        <v>1</v>
      </c>
      <c r="C27" s="50" t="n">
        <v>0.5</v>
      </c>
      <c r="D27" s="51">
        <f>B27*C27</f>
        <v/>
      </c>
      <c r="E27" s="49" t="n">
        <v>18</v>
      </c>
      <c r="F27" s="52">
        <f>D27*E27</f>
        <v/>
      </c>
      <c r="G27" s="52">
        <f>F27/12</f>
        <v/>
      </c>
      <c r="H27" s="53">
        <f>F27*'Rates'!$C$5*'Rates'!$C$7</f>
        <v/>
      </c>
      <c r="I27" s="54" t="inlineStr">
        <is>
          <t>CDM / safety in design support</t>
        </is>
      </c>
    </row>
    <row r="28">
      <c r="A28" s="48" t="inlineStr">
        <is>
          <t>QA / QC Manager</t>
        </is>
      </c>
      <c r="B28" s="49" t="n">
        <v>1</v>
      </c>
      <c r="C28" s="50" t="n">
        <v>0.5</v>
      </c>
      <c r="D28" s="51">
        <f>B28*C28</f>
        <v/>
      </c>
      <c r="E28" s="49" t="n">
        <v>18</v>
      </c>
      <c r="F28" s="52">
        <f>D28*E28</f>
        <v/>
      </c>
      <c r="G28" s="52">
        <f>F28/12</f>
        <v/>
      </c>
      <c r="H28" s="53">
        <f>F28*'Rates'!$C$5*'Rates'!$C$7</f>
        <v/>
      </c>
      <c r="I28" s="54" t="inlineStr">
        <is>
          <t>Quality assurance</t>
        </is>
      </c>
    </row>
    <row r="29">
      <c r="A29" s="48" t="inlineStr">
        <is>
          <t>Risk Manager</t>
        </is>
      </c>
      <c r="B29" s="49" t="n">
        <v>1</v>
      </c>
      <c r="C29" s="50" t="n">
        <v>0.3</v>
      </c>
      <c r="D29" s="51">
        <f>B29*C29</f>
        <v/>
      </c>
      <c r="E29" s="49" t="n">
        <v>18</v>
      </c>
      <c r="F29" s="52">
        <f>D29*E29</f>
        <v/>
      </c>
      <c r="G29" s="52">
        <f>F29/12</f>
        <v/>
      </c>
      <c r="H29" s="53">
        <f>F29*'Rates'!$C$5*'Rates'!$C$7</f>
        <v/>
      </c>
      <c r="I29" s="54" t="inlineStr"/>
    </row>
    <row r="30">
      <c r="A30" s="48" t="inlineStr">
        <is>
          <t>Project Controls Analyst</t>
        </is>
      </c>
      <c r="B30" s="49" t="n">
        <v>1</v>
      </c>
      <c r="C30" s="50" t="n">
        <v>0.6</v>
      </c>
      <c r="D30" s="51">
        <f>B30*C30</f>
        <v/>
      </c>
      <c r="E30" s="49" t="n">
        <v>18</v>
      </c>
      <c r="F30" s="52">
        <f>D30*E30</f>
        <v/>
      </c>
      <c r="G30" s="52">
        <f>F30/12</f>
        <v/>
      </c>
      <c r="H30" s="53">
        <f>F30*'Rates'!$C$5*'Rates'!$C$7</f>
        <v/>
      </c>
      <c r="I30" s="54" t="inlineStr">
        <is>
          <t>Reporting &amp; dashboards</t>
        </is>
      </c>
    </row>
    <row r="31">
      <c r="A31" s="48" t="inlineStr">
        <is>
          <t>HR &amp; People Coordinator</t>
        </is>
      </c>
      <c r="B31" s="49" t="n">
        <v>1</v>
      </c>
      <c r="C31" s="50" t="n">
        <v>0.25</v>
      </c>
      <c r="D31" s="51">
        <f>B31*C31</f>
        <v/>
      </c>
      <c r="E31" s="49" t="n">
        <v>18</v>
      </c>
      <c r="F31" s="52">
        <f>D31*E31</f>
        <v/>
      </c>
      <c r="G31" s="52">
        <f>F31/12</f>
        <v/>
      </c>
      <c r="H31" s="53">
        <f>F31*'Rates'!$C$5*'Rates'!$C$7</f>
        <v/>
      </c>
      <c r="I31" s="54" t="inlineStr"/>
    </row>
    <row r="32">
      <c r="A32" s="48" t="inlineStr">
        <is>
          <t>IT / Systems Support</t>
        </is>
      </c>
      <c r="B32" s="49" t="n">
        <v>1</v>
      </c>
      <c r="C32" s="50" t="n">
        <v>0.25</v>
      </c>
      <c r="D32" s="51">
        <f>B32*C32</f>
        <v/>
      </c>
      <c r="E32" s="49" t="n">
        <v>18</v>
      </c>
      <c r="F32" s="52">
        <f>D32*E32</f>
        <v/>
      </c>
      <c r="G32" s="52">
        <f>F32/12</f>
        <v/>
      </c>
      <c r="H32" s="53">
        <f>F32*'Rates'!$C$5*'Rates'!$C$7</f>
        <v/>
      </c>
      <c r="I32" s="54" t="inlineStr"/>
    </row>
    <row r="33">
      <c r="A33" s="48" t="inlineStr">
        <is>
          <t>Communications &amp; Stakeholder Liaison</t>
        </is>
      </c>
      <c r="B33" s="49" t="n">
        <v>1</v>
      </c>
      <c r="C33" s="50" t="n">
        <v>0.3</v>
      </c>
      <c r="D33" s="51">
        <f>B33*C33</f>
        <v/>
      </c>
      <c r="E33" s="49" t="n">
        <v>18</v>
      </c>
      <c r="F33" s="52">
        <f>D33*E33</f>
        <v/>
      </c>
      <c r="G33" s="52">
        <f>F33/12</f>
        <v/>
      </c>
      <c r="H33" s="53">
        <f>F33*'Rates'!$C$5*'Rates'!$C$7</f>
        <v/>
      </c>
      <c r="I33" s="54" t="inlineStr"/>
    </row>
    <row r="34">
      <c r="A34" s="48" t="inlineStr">
        <is>
          <t>Training &amp; Competency Coordinator</t>
        </is>
      </c>
      <c r="B34" s="49" t="n">
        <v>1</v>
      </c>
      <c r="C34" s="50" t="n">
        <v>0.2</v>
      </c>
      <c r="D34" s="51">
        <f>B34*C34</f>
        <v/>
      </c>
      <c r="E34" s="49" t="n">
        <v>18</v>
      </c>
      <c r="F34" s="52">
        <f>D34*E34</f>
        <v/>
      </c>
      <c r="G34" s="52">
        <f>F34/12</f>
        <v/>
      </c>
      <c r="H34" s="53">
        <f>F34*'Rates'!$C$5*'Rates'!$C$7</f>
        <v/>
      </c>
      <c r="I34" s="54" t="inlineStr"/>
    </row>
    <row r="35">
      <c r="A35" s="48" t="inlineStr">
        <is>
          <t>Office Manager</t>
        </is>
      </c>
      <c r="B35" s="49" t="n">
        <v>1</v>
      </c>
      <c r="C35" s="50" t="n">
        <v>0.6</v>
      </c>
      <c r="D35" s="51">
        <f>B35*C35</f>
        <v/>
      </c>
      <c r="E35" s="49" t="n">
        <v>18</v>
      </c>
      <c r="F35" s="52">
        <f>D35*E35</f>
        <v/>
      </c>
      <c r="G35" s="52">
        <f>F35/12</f>
        <v/>
      </c>
      <c r="H35" s="53">
        <f>F35*'Rates'!$C$5*'Rates'!$C$7</f>
        <v/>
      </c>
      <c r="I35" s="54" t="inlineStr"/>
    </row>
    <row r="36">
      <c r="A36" s="36" t="inlineStr">
        <is>
          <t xml:space="preserve">   Subtotal — PROJECT SUPPORT — Interface &amp; Back-Office  (18 months)</t>
        </is>
      </c>
      <c r="B36" s="37">
        <f>SUM(B15:B35)</f>
        <v/>
      </c>
      <c r="C36" s="36" t="n"/>
      <c r="D36" s="38">
        <f>SUM(D15:D35)</f>
        <v/>
      </c>
      <c r="E36" s="36" t="n"/>
      <c r="F36" s="39">
        <f>SUM(F15:F35)</f>
        <v/>
      </c>
      <c r="G36" s="39">
        <f>SUM(G15:G35)</f>
        <v/>
      </c>
      <c r="H36" s="40">
        <f>SUM(H15:H35)</f>
        <v/>
      </c>
      <c r="I36" s="36" t="n"/>
    </row>
    <row r="38">
      <c r="A38" s="26" t="inlineStr">
        <is>
          <t>TOTAL</t>
        </is>
      </c>
      <c r="B38" s="27">
        <f>B12+B36</f>
        <v/>
      </c>
      <c r="C38" s="27" t="n"/>
      <c r="D38" s="28">
        <f>D12+D36</f>
        <v/>
      </c>
      <c r="E38" s="27" t="n"/>
      <c r="F38" s="29">
        <f>F12+F36</f>
        <v/>
      </c>
      <c r="G38" s="29">
        <f>G12+G36</f>
        <v/>
      </c>
      <c r="H38" s="13">
        <f>H12+H36</f>
        <v/>
      </c>
      <c r="I38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3" customWidth="1" min="3" max="3"/>
    <col width="8" customWidth="1" min="4" max="4"/>
    <col width="16" customWidth="1" min="5" max="5"/>
    <col width="19" customWidth="1" min="6" max="6"/>
    <col width="18" customWidth="1" min="7" max="7"/>
    <col width="14" customWidth="1" min="8" max="8"/>
    <col width="50" customWidth="1" min="9" max="9"/>
  </cols>
  <sheetData>
    <row r="1">
      <c r="A1" s="1" t="inlineStr">
        <is>
          <t>3 · Designers — reachback, utilisation-based (non-FTE)</t>
        </is>
      </c>
    </row>
    <row r="2">
      <c r="A2" s="3" t="inlineStr">
        <is>
          <t>Design discipline reachback team. Charged at the Designer rate (Rates tab).</t>
        </is>
      </c>
    </row>
    <row r="4">
      <c r="A4" s="15" t="inlineStr">
        <is>
          <t>Role</t>
        </is>
      </c>
      <c r="B4" s="15" t="inlineStr">
        <is>
          <t>Headcount</t>
        </is>
      </c>
      <c r="C4" s="15" t="inlineStr">
        <is>
          <t>Utilisation %</t>
        </is>
      </c>
      <c r="D4" s="15" t="inlineStr">
        <is>
          <t>FTE</t>
        </is>
      </c>
      <c r="E4" s="15" t="inlineStr">
        <is>
          <t>Duration (months)</t>
        </is>
      </c>
      <c r="F4" s="15" t="inlineStr">
        <is>
          <t>Effort (person-months)</t>
        </is>
      </c>
      <c r="G4" s="15" t="inlineStr">
        <is>
          <t>Effort (person-years)</t>
        </is>
      </c>
      <c r="H4" s="15" t="inlineStr">
        <is>
          <t>Cost (€)</t>
        </is>
      </c>
      <c r="I4" s="15" t="inlineStr">
        <is>
          <t>Basis / notes</t>
        </is>
      </c>
    </row>
    <row r="5">
      <c r="A5" s="31" t="inlineStr">
        <is>
          <t>DESIGN REACHBACK TEAM  (18 months)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</row>
    <row r="6">
      <c r="A6" s="48" t="inlineStr">
        <is>
          <t>Design Management / Coordination</t>
        </is>
      </c>
      <c r="B6" s="49" t="n">
        <v>1</v>
      </c>
      <c r="C6" s="50" t="n">
        <v>0.3</v>
      </c>
      <c r="D6" s="51">
        <f>B6*C6</f>
        <v/>
      </c>
      <c r="E6" s="49" t="n">
        <v>18</v>
      </c>
      <c r="F6" s="52">
        <f>D6*E6</f>
        <v/>
      </c>
      <c r="G6" s="52">
        <f>F6/12</f>
        <v/>
      </c>
      <c r="H6" s="53">
        <f>F6*'Rates'!$C$5*'Rates'!$C$8</f>
        <v/>
      </c>
      <c r="I6" s="54" t="inlineStr">
        <is>
          <t>Coordinates reachback requests</t>
        </is>
      </c>
    </row>
    <row r="7">
      <c r="A7" s="48" t="inlineStr">
        <is>
          <t>Utilities South</t>
        </is>
      </c>
      <c r="B7" s="49" t="n">
        <v>3</v>
      </c>
      <c r="C7" s="50" t="n">
        <v>0.25</v>
      </c>
      <c r="D7" s="51">
        <f>B7*C7</f>
        <v/>
      </c>
      <c r="E7" s="49" t="n">
        <v>18</v>
      </c>
      <c r="F7" s="52">
        <f>D7*E7</f>
        <v/>
      </c>
      <c r="G7" s="52">
        <f>F7/12</f>
        <v/>
      </c>
      <c r="H7" s="53">
        <f>F7*'Rates'!$C$5*'Rates'!$C$8</f>
        <v/>
      </c>
      <c r="I7" s="54" t="inlineStr">
        <is>
          <t>Reachback — design queries &amp; proposal review</t>
        </is>
      </c>
    </row>
    <row r="8">
      <c r="A8" s="48" t="inlineStr">
        <is>
          <t>Sustainability</t>
        </is>
      </c>
      <c r="B8" s="49" t="n">
        <v>2</v>
      </c>
      <c r="C8" s="50" t="n">
        <v>0.15</v>
      </c>
      <c r="D8" s="51">
        <f>B8*C8</f>
        <v/>
      </c>
      <c r="E8" s="49" t="n">
        <v>18</v>
      </c>
      <c r="F8" s="52">
        <f>D8*E8</f>
        <v/>
      </c>
      <c r="G8" s="52">
        <f>F8/12</f>
        <v/>
      </c>
      <c r="H8" s="53">
        <f>F8*'Rates'!$C$5*'Rates'!$C$8</f>
        <v/>
      </c>
      <c r="I8" s="54" t="inlineStr">
        <is>
          <t>On-demand</t>
        </is>
      </c>
    </row>
    <row r="9">
      <c r="A9" s="48" t="inlineStr">
        <is>
          <t>Land Access</t>
        </is>
      </c>
      <c r="B9" s="49" t="n">
        <v>2</v>
      </c>
      <c r="C9" s="50" t="n">
        <v>0.2</v>
      </c>
      <c r="D9" s="51">
        <f>B9*C9</f>
        <v/>
      </c>
      <c r="E9" s="49" t="n">
        <v>18</v>
      </c>
      <c r="F9" s="52">
        <f>D9*E9</f>
        <v/>
      </c>
      <c r="G9" s="52">
        <f>F9/12</f>
        <v/>
      </c>
      <c r="H9" s="53">
        <f>F9*'Rates'!$C$5*'Rates'!$C$8</f>
        <v/>
      </c>
      <c r="I9" s="54" t="inlineStr">
        <is>
          <t>On-demand</t>
        </is>
      </c>
    </row>
    <row r="10">
      <c r="A10" s="48" t="inlineStr">
        <is>
          <t>Structures</t>
        </is>
      </c>
      <c r="B10" s="49" t="n">
        <v>2</v>
      </c>
      <c r="C10" s="50" t="n">
        <v>0.25</v>
      </c>
      <c r="D10" s="51">
        <f>B10*C10</f>
        <v/>
      </c>
      <c r="E10" s="49" t="n">
        <v>18</v>
      </c>
      <c r="F10" s="52">
        <f>D10*E10</f>
        <v/>
      </c>
      <c r="G10" s="52">
        <f>F10/12</f>
        <v/>
      </c>
      <c r="H10" s="53">
        <f>F10*'Rates'!$C$5*'Rates'!$C$8</f>
        <v/>
      </c>
      <c r="I10" s="54" t="inlineStr">
        <is>
          <t>Design review &amp; RFI support</t>
        </is>
      </c>
    </row>
    <row r="11">
      <c r="A11" s="48" t="inlineStr">
        <is>
          <t>Heritage</t>
        </is>
      </c>
      <c r="B11" s="49" t="n">
        <v>1</v>
      </c>
      <c r="C11" s="50" t="n">
        <v>0.1</v>
      </c>
      <c r="D11" s="51">
        <f>B11*C11</f>
        <v/>
      </c>
      <c r="E11" s="49" t="n">
        <v>18</v>
      </c>
      <c r="F11" s="52">
        <f>D11*E11</f>
        <v/>
      </c>
      <c r="G11" s="52">
        <f>F11/12</f>
        <v/>
      </c>
      <c r="H11" s="53">
        <f>F11*'Rates'!$C$5*'Rates'!$C$8</f>
        <v/>
      </c>
      <c r="I11" s="54" t="inlineStr">
        <is>
          <t>On-demand</t>
        </is>
      </c>
    </row>
    <row r="12">
      <c r="A12" s="48" t="inlineStr">
        <is>
          <t>Cellars &amp; Playing Pitches</t>
        </is>
      </c>
      <c r="B12" s="49" t="n">
        <v>1</v>
      </c>
      <c r="C12" s="50" t="n">
        <v>0.1</v>
      </c>
      <c r="D12" s="51">
        <f>B12*C12</f>
        <v/>
      </c>
      <c r="E12" s="49" t="n">
        <v>18</v>
      </c>
      <c r="F12" s="52">
        <f>D12*E12</f>
        <v/>
      </c>
      <c r="G12" s="52">
        <f>F12/12</f>
        <v/>
      </c>
      <c r="H12" s="53">
        <f>F12*'Rates'!$C$5*'Rates'!$C$8</f>
        <v/>
      </c>
      <c r="I12" s="54" t="inlineStr">
        <is>
          <t>On-demand</t>
        </is>
      </c>
    </row>
    <row r="13">
      <c r="A13" s="48" t="inlineStr">
        <is>
          <t>Archaeology</t>
        </is>
      </c>
      <c r="B13" s="49" t="n">
        <v>1</v>
      </c>
      <c r="C13" s="50" t="n">
        <v>0.15</v>
      </c>
      <c r="D13" s="51">
        <f>B13*C13</f>
        <v/>
      </c>
      <c r="E13" s="49" t="n">
        <v>18</v>
      </c>
      <c r="F13" s="52">
        <f>D13*E13</f>
        <v/>
      </c>
      <c r="G13" s="52">
        <f>F13/12</f>
        <v/>
      </c>
      <c r="H13" s="53">
        <f>F13*'Rates'!$C$5*'Rates'!$C$8</f>
        <v/>
      </c>
      <c r="I13" s="54" t="inlineStr">
        <is>
          <t>On-demand</t>
        </is>
      </c>
    </row>
    <row r="14">
      <c r="A14" s="48" t="inlineStr">
        <is>
          <t>Biodiversity</t>
        </is>
      </c>
      <c r="B14" s="49" t="n">
        <v>1</v>
      </c>
      <c r="C14" s="50" t="n">
        <v>0.1</v>
      </c>
      <c r="D14" s="51">
        <f>B14*C14</f>
        <v/>
      </c>
      <c r="E14" s="49" t="n">
        <v>18</v>
      </c>
      <c r="F14" s="52">
        <f>D14*E14</f>
        <v/>
      </c>
      <c r="G14" s="52">
        <f>F14/12</f>
        <v/>
      </c>
      <c r="H14" s="53">
        <f>F14*'Rates'!$C$5*'Rates'!$C$8</f>
        <v/>
      </c>
      <c r="I14" s="54" t="inlineStr">
        <is>
          <t>On-demand</t>
        </is>
      </c>
    </row>
    <row r="15">
      <c r="A15" s="48" t="inlineStr">
        <is>
          <t>Env. Monitoring</t>
        </is>
      </c>
      <c r="B15" s="49" t="n">
        <v>2</v>
      </c>
      <c r="C15" s="50" t="n">
        <v>0.2</v>
      </c>
      <c r="D15" s="51">
        <f>B15*C15</f>
        <v/>
      </c>
      <c r="E15" s="49" t="n">
        <v>18</v>
      </c>
      <c r="F15" s="52">
        <f>D15*E15</f>
        <v/>
      </c>
      <c r="G15" s="52">
        <f>F15/12</f>
        <v/>
      </c>
      <c r="H15" s="53">
        <f>F15*'Rates'!$C$5*'Rates'!$C$8</f>
        <v/>
      </c>
      <c r="I15" s="54" t="inlineStr">
        <is>
          <t>Periodic monitoring</t>
        </is>
      </c>
    </row>
    <row r="16">
      <c r="A16" s="36" t="inlineStr">
        <is>
          <t xml:space="preserve">   Subtotal — DESIGN REACHBACK TEAM  (18 months)</t>
        </is>
      </c>
      <c r="B16" s="37">
        <f>SUM(B6:B15)</f>
        <v/>
      </c>
      <c r="C16" s="36" t="n"/>
      <c r="D16" s="38">
        <f>SUM(D6:D15)</f>
        <v/>
      </c>
      <c r="E16" s="36" t="n"/>
      <c r="F16" s="39">
        <f>SUM(F6:F15)</f>
        <v/>
      </c>
      <c r="G16" s="39">
        <f>SUM(G6:G15)</f>
        <v/>
      </c>
      <c r="H16" s="40">
        <f>SUM(H6:H15)</f>
        <v/>
      </c>
      <c r="I16" s="36" t="n"/>
    </row>
    <row r="18">
      <c r="A18" s="26" t="inlineStr">
        <is>
          <t>TOTAL</t>
        </is>
      </c>
      <c r="B18" s="27">
        <f>B16</f>
        <v/>
      </c>
      <c r="C18" s="27" t="n"/>
      <c r="D18" s="28">
        <f>D16</f>
        <v/>
      </c>
      <c r="E18" s="27" t="n"/>
      <c r="F18" s="29">
        <f>F16</f>
        <v/>
      </c>
      <c r="G18" s="29">
        <f>G16</f>
        <v/>
      </c>
      <c r="H18" s="13">
        <f>H16</f>
        <v/>
      </c>
      <c r="I18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2026-06-30T13:23:11Z</dcterms:created>
  <dcterms:modified xsi:type="dcterms:W3CDTF">2026-06-30T13:23:11Z</dcterms:modified>
</cp:coreProperties>
</file>