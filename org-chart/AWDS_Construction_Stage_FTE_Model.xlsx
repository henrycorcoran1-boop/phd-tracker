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Rates" sheetId="2" state="visible" r:id="rId2"/>
    <sheet name="Summary" sheetId="3" state="visible" r:id="rId3"/>
    <sheet name="1 · Mgmt &amp; Contract Mgrs" sheetId="4" state="visible" r:id="rId4"/>
    <sheet name="2 · Support Staff" sheetId="5" state="visible" r:id="rId5"/>
    <sheet name="3 · Designer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€&quot;#,##0"/>
    <numFmt numFmtId="165" formatCode="0.0"/>
  </numFmts>
  <fonts count="10">
    <font>
      <name val="Calibri"/>
      <family val="2"/>
      <color theme="1"/>
      <sz val="11"/>
      <scheme val="minor"/>
    </font>
    <font>
      <name val="Calibri"/>
      <b val="1"/>
      <color rgb="000B2E63"/>
      <sz val="16"/>
    </font>
    <font>
      <name val="Calibri"/>
      <i val="1"/>
      <color rgb="005B6B8C"/>
      <sz val="10"/>
    </font>
    <font>
      <name val="Calibri"/>
      <color rgb="000F1B3D"/>
      <sz val="10"/>
    </font>
    <font>
      <name val="Calibri"/>
      <b val="1"/>
      <color rgb="000B2E63"/>
      <sz val="10"/>
    </font>
    <font>
      <name val="Calibri"/>
      <b val="1"/>
      <color rgb="001F5FD6"/>
      <sz val="11"/>
    </font>
    <font>
      <name val="Calibri"/>
      <i val="1"/>
      <color rgb="005B6B8C"/>
      <sz val="9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1F5FD6"/>
      <sz val="10"/>
    </font>
  </fonts>
  <fills count="10">
    <fill>
      <patternFill/>
    </fill>
    <fill>
      <patternFill patternType="gray125"/>
    </fill>
    <fill>
      <patternFill patternType="solid">
        <fgColor rgb="00DCE7F8"/>
      </patternFill>
    </fill>
    <fill>
      <patternFill patternType="solid">
        <fgColor rgb="00FFF3D6"/>
      </patternFill>
    </fill>
    <fill>
      <patternFill patternType="solid">
        <fgColor rgb="001F5FD6"/>
      </patternFill>
    </fill>
    <fill>
      <patternFill patternType="solid">
        <fgColor rgb="000B2E63"/>
      </patternFill>
    </fill>
    <fill>
      <patternFill patternType="solid">
        <fgColor rgb="00EAF1FC"/>
      </patternFill>
    </fill>
    <fill>
      <patternFill patternType="solid">
        <fgColor rgb="00FBE9F2"/>
      </patternFill>
    </fill>
    <fill>
      <patternFill patternType="solid">
        <fgColor rgb="00E4F6F0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C5D2EA"/>
      </left>
      <right style="thin">
        <color rgb="00C5D2EA"/>
      </right>
      <top style="thin">
        <color rgb="00C5D2EA"/>
      </top>
      <bottom style="thin">
        <color rgb="00C5D2EA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2" borderId="0" pivotButton="0" quotePrefix="0" xfId="0"/>
    <xf numFmtId="0" fontId="0" fillId="2" borderId="0" pivotButton="0" quotePrefix="0" xfId="0"/>
    <xf numFmtId="0" fontId="0" fillId="2" borderId="0" applyAlignment="1" pivotButton="0" quotePrefix="0" xfId="0">
      <alignment horizontal="left" vertical="center" wrapText="1"/>
    </xf>
    <xf numFmtId="0" fontId="4" fillId="0" borderId="0" pivotButton="0" quotePrefix="0" xfId="0"/>
    <xf numFmtId="1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164" fontId="7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4" fillId="2" borderId="1" pivotButton="0" quotePrefix="0" xfId="0"/>
    <xf numFmtId="0" fontId="0" fillId="2" borderId="1" pivotButton="0" quotePrefix="0" xfId="0"/>
    <xf numFmtId="0" fontId="3" fillId="0" borderId="1" pivotButton="0" quotePrefix="0" xfId="0"/>
    <xf numFmtId="164" fontId="5" fillId="3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3" fillId="9" borderId="1" pivotButton="0" quotePrefix="0" xfId="0"/>
    <xf numFmtId="0" fontId="0" fillId="9" borderId="1" applyAlignment="1" pivotButton="0" quotePrefix="0" xfId="0">
      <alignment horizontal="center" vertical="center"/>
    </xf>
    <xf numFmtId="2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horizontal="center" vertical="center"/>
    </xf>
    <xf numFmtId="0" fontId="7" fillId="4" borderId="1" pivotButton="0" quotePrefix="0" xfId="0"/>
    <xf numFmtId="0" fontId="7" fillId="4" borderId="1" applyAlignment="1" pivotButton="0" quotePrefix="0" xfId="0">
      <alignment horizontal="center" vertical="center"/>
    </xf>
    <xf numFmtId="2" fontId="7" fillId="4" borderId="1" applyAlignment="1" pivotButton="0" quotePrefix="0" xfId="0">
      <alignment horizontal="center" vertical="center"/>
    </xf>
    <xf numFmtId="165" fontId="7" fillId="4" borderId="1" applyAlignment="1" pivotButton="0" quotePrefix="0" xfId="0">
      <alignment horizontal="center" vertical="center"/>
    </xf>
    <xf numFmtId="2" fontId="0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9" fontId="0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2" fontId="4" fillId="6" borderId="1" applyAlignment="1" pivotButton="0" quotePrefix="0" xfId="0">
      <alignment horizontal="center" vertical="center"/>
    </xf>
    <xf numFmtId="165" fontId="4" fillId="6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center" vertical="center"/>
    </xf>
    <xf numFmtId="9" fontId="0" fillId="7" borderId="1" applyAlignment="1" pivotButton="0" quotePrefix="0" xfId="0">
      <alignment horizontal="center" vertical="center"/>
    </xf>
    <xf numFmtId="2" fontId="0" fillId="7" borderId="1" applyAlignment="1" pivotButton="0" quotePrefix="0" xfId="0">
      <alignment horizontal="center" vertical="center"/>
    </xf>
    <xf numFmtId="165" fontId="0" fillId="7" borderId="1" applyAlignment="1" pivotButton="0" quotePrefix="0" xfId="0">
      <alignment horizontal="center" vertical="center"/>
    </xf>
    <xf numFmtId="164" fontId="9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center" vertical="center"/>
    </xf>
    <xf numFmtId="9" fontId="0" fillId="8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0">
      <alignment horizontal="center" vertical="center"/>
    </xf>
    <xf numFmtId="164" fontId="9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" customWidth="1" min="2" max="2"/>
    <col width="66" customWidth="1" min="3" max="3"/>
  </cols>
  <sheetData>
    <row r="1">
      <c r="A1" s="1" t="inlineStr">
        <is>
          <t>AWDS MetroLink — Construction Stage Resourcing, FTE &amp; Cost Model</t>
        </is>
      </c>
    </row>
    <row r="2">
      <c r="A2" s="2" t="inlineStr">
        <is>
          <t>Edit the gold cells on the 'Rates' tab (a rate for every title) — all sheets and the total cost update automatically.</t>
        </is>
      </c>
    </row>
    <row r="4">
      <c r="A4" s="3" t="inlineStr"/>
      <c r="C4" s="4" t="inlineStr"/>
    </row>
    <row r="5">
      <c r="A5" s="5" t="inlineStr">
        <is>
          <t>KEY ASSUMPTIONS</t>
        </is>
      </c>
      <c r="B5" s="6" t="n"/>
      <c r="C5" s="7" t="inlineStr"/>
      <c r="D5" s="6" t="n"/>
      <c r="E5" s="6" t="n"/>
      <c r="F5" s="6" t="n"/>
    </row>
    <row r="6">
      <c r="A6" s="3" t="inlineStr">
        <is>
          <t>Construction-stage durations</t>
        </is>
      </c>
      <c r="C6" s="4" t="inlineStr"/>
    </row>
    <row r="7">
      <c r="A7" s="3" t="inlineStr">
        <is>
          <t xml:space="preserve">   • Management team</t>
        </is>
      </c>
      <c r="C7" s="4" t="inlineStr">
        <is>
          <t>36 months</t>
        </is>
      </c>
    </row>
    <row r="8">
      <c r="A8" s="3" t="inlineStr">
        <is>
          <t xml:space="preserve">   • Contract Managers (and their delivery team)</t>
        </is>
      </c>
      <c r="C8" s="4" t="inlineStr">
        <is>
          <t>18 months</t>
        </is>
      </c>
    </row>
    <row r="9">
      <c r="A9" s="3" t="inlineStr">
        <is>
          <t xml:space="preserve">   • Support staff</t>
        </is>
      </c>
      <c r="C9" s="4" t="inlineStr">
        <is>
          <t>18 months</t>
        </is>
      </c>
    </row>
    <row r="10">
      <c r="A10" s="3" t="inlineStr">
        <is>
          <t xml:space="preserve">   • Designers (reachback)</t>
        </is>
      </c>
      <c r="C10" s="4" t="inlineStr">
        <is>
          <t>18 months</t>
        </is>
      </c>
    </row>
    <row r="11">
      <c r="A11" s="3" t="inlineStr">
        <is>
          <t>Number of contract packages / Contract Managers</t>
        </is>
      </c>
      <c r="C11" s="4" t="inlineStr">
        <is>
          <t>16  (one per package — see note 1)</t>
        </is>
      </c>
    </row>
    <row r="12">
      <c r="A12" s="3" t="inlineStr">
        <is>
          <t>Rates &amp; hours</t>
        </is>
      </c>
      <c r="C12" s="4" t="inlineStr">
        <is>
          <t>See the 'Rates' tab — one editable rate per title.</t>
        </is>
      </c>
    </row>
    <row r="13">
      <c r="A13" s="3" t="inlineStr"/>
      <c r="C13" s="4" t="inlineStr"/>
    </row>
    <row r="14">
      <c r="A14" s="5" t="inlineStr">
        <is>
          <t>DEFINITIONS</t>
        </is>
      </c>
      <c r="B14" s="6" t="n"/>
      <c r="C14" s="7" t="inlineStr"/>
      <c r="D14" s="6" t="n"/>
      <c r="E14" s="6" t="n"/>
      <c r="F14" s="6" t="n"/>
    </row>
    <row r="15">
      <c r="A15" s="3" t="inlineStr">
        <is>
          <t>FTE</t>
        </is>
      </c>
      <c r="C15" s="4" t="inlineStr">
        <is>
          <t>1.0 FTE = one full-time-equivalent person at 100% utilisation.</t>
        </is>
      </c>
    </row>
    <row r="16">
      <c r="A16" s="3" t="inlineStr">
        <is>
          <t>FTE (modelled)</t>
        </is>
      </c>
      <c r="C16" s="4">
        <f> Headcount × Utilisation %</f>
        <v/>
      </c>
    </row>
    <row r="17">
      <c r="A17" s="3" t="inlineStr">
        <is>
          <t>Effort (person-months)</t>
        </is>
      </c>
      <c r="C17" s="4">
        <f> FTE × Duration (months)</f>
        <v/>
      </c>
    </row>
    <row r="18">
      <c r="A18" s="3" t="inlineStr">
        <is>
          <t>Cost (€)</t>
        </is>
      </c>
      <c r="C18" s="4">
        <f> Person-months × Hours-per-month × the title's rate (from 'Rates' tab)</f>
        <v/>
      </c>
    </row>
    <row r="19">
      <c r="A19" s="3" t="inlineStr"/>
      <c r="C19" s="4" t="inlineStr"/>
    </row>
    <row r="20">
      <c r="A20" s="5" t="inlineStr">
        <is>
          <t>FTE vs NON-FTE TREATMENT</t>
        </is>
      </c>
      <c r="B20" s="6" t="n"/>
      <c r="C20" s="7" t="inlineStr"/>
      <c r="D20" s="6" t="n"/>
      <c r="E20" s="6" t="n"/>
      <c r="F20" s="6" t="n"/>
    </row>
    <row r="21">
      <c r="A21" s="3" t="inlineStr">
        <is>
          <t>Management team &amp; Contract Managers</t>
        </is>
      </c>
      <c r="C21" s="4" t="inlineStr">
        <is>
          <t>Dedicated FTE.</t>
        </is>
      </c>
    </row>
    <row r="22">
      <c r="A22" s="3" t="inlineStr">
        <is>
          <t>Support staff &amp; Designers</t>
        </is>
      </c>
      <c r="C22" s="4" t="inlineStr">
        <is>
          <t>Shared / part-time, counted by utilisation.</t>
        </is>
      </c>
    </row>
    <row r="23">
      <c r="A23" s="3" t="inlineStr"/>
      <c r="C23" s="4" t="inlineStr"/>
    </row>
    <row r="24">
      <c r="A24" s="5" t="inlineStr">
        <is>
          <t>SCOPE CONTEXT (drives the team make-up)</t>
        </is>
      </c>
      <c r="B24" s="6" t="n"/>
      <c r="C24" s="7" t="inlineStr"/>
      <c r="D24" s="6" t="n"/>
      <c r="E24" s="6" t="n"/>
      <c r="F24" s="6" t="n"/>
    </row>
    <row r="25">
      <c r="A25" s="3" t="inlineStr">
        <is>
          <t>At construction stage the Contract Managers and their teams are NOT site supervision. Their remit is:</t>
        </is>
      </c>
      <c r="C25" s="4" t="inlineStr"/>
    </row>
    <row r="26">
      <c r="A26" s="3" t="inlineStr">
        <is>
          <t xml:space="preserve">   • Raising / tracking / closing RFIs</t>
        </is>
      </c>
      <c r="C26" s="4" t="inlineStr"/>
    </row>
    <row r="27">
      <c r="A27" s="3" t="inlineStr">
        <is>
          <t xml:space="preserve">   • Reviewing contractor design proposals</t>
        </is>
      </c>
      <c r="C27" s="4" t="inlineStr"/>
    </row>
    <row r="28">
      <c r="A28" s="3" t="inlineStr">
        <is>
          <t xml:space="preserve">   • Progress, design and coordination meetings; occasional site visits</t>
        </is>
      </c>
      <c r="C28" s="4" t="inlineStr"/>
    </row>
    <row r="29">
      <c r="A29" s="3" t="inlineStr">
        <is>
          <t xml:space="preserve">   • Meetings with utility asset owners</t>
        </is>
      </c>
      <c r="C29" s="4" t="inlineStr"/>
    </row>
    <row r="30">
      <c r="A30" s="3" t="inlineStr">
        <is>
          <t xml:space="preserve">   • Updating and managing the as-built drawings / CDE</t>
        </is>
      </c>
      <c r="C30" s="4" t="inlineStr"/>
    </row>
    <row r="31">
      <c r="A31" s="3" t="inlineStr">
        <is>
          <t xml:space="preserve">   • NEC contract administration, change and reporting</t>
        </is>
      </c>
      <c r="C31" s="4" t="inlineStr"/>
    </row>
    <row r="32">
      <c r="A32" s="3" t="inlineStr"/>
      <c r="C32" s="4" t="inlineStr"/>
    </row>
    <row r="33">
      <c r="A33" s="5" t="inlineStr">
        <is>
          <t>NOTES</t>
        </is>
      </c>
      <c r="B33" s="6" t="n"/>
      <c r="C33" s="7" t="inlineStr"/>
      <c r="D33" s="6" t="n"/>
      <c r="E33" s="6" t="n"/>
      <c r="F33" s="6" t="n"/>
    </row>
    <row r="34">
      <c r="A34" s="3" t="inlineStr">
        <is>
          <t>1.  Contract Manager headcount (16) is from the org chart; some packages combine under one CM —</t>
        </is>
      </c>
      <c r="C34" s="4" t="inlineStr"/>
    </row>
    <row r="35">
      <c r="A35" s="3" t="inlineStr">
        <is>
          <t xml:space="preserve">     edit the headcount on sheet 1 to suit.</t>
        </is>
      </c>
      <c r="C35" s="4" t="inlineStr"/>
    </row>
    <row r="36">
      <c r="A36" s="3" t="inlineStr">
        <is>
          <t>2.  Cost is labour only — excludes expenses, fee/overhead uplift and inflation.</t>
        </is>
      </c>
      <c r="C36" s="4" t="inlineStr"/>
    </row>
    <row r="37">
      <c r="A37" s="3" t="inlineStr">
        <is>
          <t>3.  Per-title rates are planning assumptions — refine on the 'Rates' tab.</t>
        </is>
      </c>
      <c r="C37" s="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4" customWidth="1" min="1" max="1"/>
    <col width="2" customWidth="1" min="2" max="2"/>
    <col width="13" customWidth="1" min="3" max="3"/>
    <col width="40" customWidth="1" min="4" max="4"/>
  </cols>
  <sheetData>
    <row r="1">
      <c r="A1" s="1" t="inlineStr">
        <is>
          <t>Rates &amp; Cost Inputs — a rate for every title</t>
        </is>
      </c>
    </row>
    <row r="2">
      <c r="A2" s="2" t="inlineStr">
        <is>
          <t>Edit any gold cell. Every sheet and the total cost recalculate automatically.</t>
        </is>
      </c>
    </row>
    <row r="4">
      <c r="A4" s="5" t="inlineStr">
        <is>
          <t>GLOBAL INPUT</t>
        </is>
      </c>
      <c r="B4" s="6" t="n"/>
      <c r="C4" s="6" t="n"/>
      <c r="D4" s="6" t="n"/>
    </row>
    <row r="5">
      <c r="A5" s="8" t="inlineStr">
        <is>
          <t>Hours per person-month</t>
        </is>
      </c>
      <c r="C5" s="9" t="n">
        <v>160</v>
      </c>
      <c r="D5" s="10" t="inlineStr">
        <is>
          <t>Converts person-months to chargeable hours</t>
        </is>
      </c>
    </row>
    <row r="7">
      <c r="A7" s="8" t="inlineStr">
        <is>
          <t>Indicative total construction-stage cost (€)</t>
        </is>
      </c>
      <c r="C7" s="11">
        <f>'Summary'!$H$10</f>
        <v/>
      </c>
      <c r="D7" s="10" t="inlineStr">
        <is>
          <t>Live — labour only (see Assumptions)</t>
        </is>
      </c>
    </row>
    <row r="9">
      <c r="A9" s="12" t="inlineStr">
        <is>
          <t>Role / Title</t>
        </is>
      </c>
      <c r="C9" s="12" t="inlineStr">
        <is>
          <t>Rate (€/hr)</t>
        </is>
      </c>
      <c r="D9" s="12" t="inlineStr">
        <is>
          <t>Category</t>
        </is>
      </c>
    </row>
    <row r="10">
      <c r="A10" s="13" t="inlineStr">
        <is>
          <t>MANAGEMENT TEAM</t>
        </is>
      </c>
      <c r="B10" s="14" t="n"/>
      <c r="C10" s="14" t="n"/>
      <c r="D10" s="14" t="n"/>
    </row>
    <row r="11">
      <c r="A11" s="15" t="inlineStr">
        <is>
          <t>AWDS Project Director</t>
        </is>
      </c>
      <c r="C11" s="16" t="n">
        <v>160</v>
      </c>
      <c r="D11" s="17" t="inlineStr">
        <is>
          <t>MANAGEMENT TEAM</t>
        </is>
      </c>
    </row>
    <row r="12">
      <c r="A12" s="15" t="inlineStr">
        <is>
          <t>AWDS Project Management Lead</t>
        </is>
      </c>
      <c r="C12" s="16" t="n">
        <v>130</v>
      </c>
      <c r="D12" s="17" t="inlineStr">
        <is>
          <t>MANAGEMENT TEAM</t>
        </is>
      </c>
    </row>
    <row r="13">
      <c r="A13" s="15" t="inlineStr">
        <is>
          <t>AWDS Deputy Project Manager</t>
        </is>
      </c>
      <c r="C13" s="16" t="n">
        <v>110</v>
      </c>
      <c r="D13" s="17" t="inlineStr">
        <is>
          <t>MANAGEMENT TEAM</t>
        </is>
      </c>
    </row>
    <row r="14">
      <c r="A14" s="15" t="inlineStr">
        <is>
          <t>AWDS Design Management Lead</t>
        </is>
      </c>
      <c r="C14" s="16" t="n">
        <v>120</v>
      </c>
      <c r="D14" s="17" t="inlineStr">
        <is>
          <t>MANAGEMENT TEAM</t>
        </is>
      </c>
    </row>
    <row r="15">
      <c r="A15" s="15" t="inlineStr">
        <is>
          <t>AWDS PMO Lead</t>
        </is>
      </c>
      <c r="C15" s="16" t="n">
        <v>105</v>
      </c>
      <c r="D15" s="17" t="inlineStr">
        <is>
          <t>MANAGEMENT TEAM</t>
        </is>
      </c>
    </row>
    <row r="16">
      <c r="A16" s="15" t="inlineStr">
        <is>
          <t>AWDS Technical Delivery Lead</t>
        </is>
      </c>
      <c r="C16" s="16" t="n">
        <v>120</v>
      </c>
      <c r="D16" s="17" t="inlineStr">
        <is>
          <t>MANAGEMENT TEAM</t>
        </is>
      </c>
    </row>
    <row r="17">
      <c r="A17" s="15" t="inlineStr">
        <is>
          <t>AWDS Commercial Lead</t>
        </is>
      </c>
      <c r="C17" s="16" t="n">
        <v>120</v>
      </c>
      <c r="D17" s="17" t="inlineStr">
        <is>
          <t>MANAGEMENT TEAM</t>
        </is>
      </c>
    </row>
    <row r="18">
      <c r="A18" s="15" t="inlineStr">
        <is>
          <t>AWDS Cost Management Lead</t>
        </is>
      </c>
      <c r="C18" s="16" t="n">
        <v>110</v>
      </c>
      <c r="D18" s="17" t="inlineStr">
        <is>
          <t>MANAGEMENT TEAM</t>
        </is>
      </c>
    </row>
    <row r="19">
      <c r="A19" s="13" t="inlineStr">
        <is>
          <t>CONTRACT MANAGERS</t>
        </is>
      </c>
      <c r="B19" s="14" t="n"/>
      <c r="C19" s="14" t="n"/>
      <c r="D19" s="14" t="n"/>
    </row>
    <row r="20">
      <c r="A20" s="15" t="inlineStr">
        <is>
          <t>AWDS Contract Manager (one per package)</t>
        </is>
      </c>
      <c r="C20" s="16" t="n">
        <v>100</v>
      </c>
      <c r="D20" s="17" t="inlineStr">
        <is>
          <t>CONTRACT MANAGERS</t>
        </is>
      </c>
    </row>
    <row r="21">
      <c r="A21" s="13" t="inlineStr">
        <is>
          <t>CONTRACT DELIVERY SUPPORT</t>
        </is>
      </c>
      <c r="B21" s="14" t="n"/>
      <c r="C21" s="14" t="n"/>
      <c r="D21" s="14" t="n"/>
    </row>
    <row r="22">
      <c r="A22" s="15" t="inlineStr">
        <is>
          <t>Contracts / Technical Engineer</t>
        </is>
      </c>
      <c r="C22" s="16" t="n">
        <v>60</v>
      </c>
      <c r="D22" s="17" t="inlineStr">
        <is>
          <t>CONTRACT DELIVERY SUPPORT</t>
        </is>
      </c>
    </row>
    <row r="23">
      <c r="A23" s="15" t="inlineStr">
        <is>
          <t>Document Controller / As-Built Coordinator</t>
        </is>
      </c>
      <c r="C23" s="16" t="n">
        <v>40</v>
      </c>
      <c r="D23" s="17" t="inlineStr">
        <is>
          <t>CONTRACT DELIVERY SUPPORT</t>
        </is>
      </c>
    </row>
    <row r="24">
      <c r="A24" s="15" t="inlineStr">
        <is>
          <t>Quantity Surveyor / Commercial Support</t>
        </is>
      </c>
      <c r="C24" s="16" t="n">
        <v>65</v>
      </c>
      <c r="D24" s="17" t="inlineStr">
        <is>
          <t>CONTRACT DELIVERY SUPPORT</t>
        </is>
      </c>
    </row>
    <row r="25">
      <c r="A25" s="15" t="inlineStr">
        <is>
          <t>Utilities Liaison Coordinator</t>
        </is>
      </c>
      <c r="C25" s="16" t="n">
        <v>55</v>
      </c>
      <c r="D25" s="17" t="inlineStr">
        <is>
          <t>CONTRACT DELIVERY SUPPORT</t>
        </is>
      </c>
    </row>
    <row r="26">
      <c r="A26" s="15" t="inlineStr">
        <is>
          <t>CEMP / Environmental Coordinator</t>
        </is>
      </c>
      <c r="C26" s="16" t="n">
        <v>55</v>
      </c>
      <c r="D26" s="17" t="inlineStr">
        <is>
          <t>CONTRACT DELIVERY SUPPORT</t>
        </is>
      </c>
    </row>
    <row r="27">
      <c r="A27" s="15" t="inlineStr">
        <is>
          <t>Planner / Scheduler (package)</t>
        </is>
      </c>
      <c r="C27" s="16" t="n">
        <v>60</v>
      </c>
      <c r="D27" s="17" t="inlineStr">
        <is>
          <t>CONTRACT DELIVERY SUPPORT</t>
        </is>
      </c>
    </row>
    <row r="28">
      <c r="A28" s="13" t="inlineStr">
        <is>
          <t>PROJECT SUPPORT — Interface &amp; Back-Office</t>
        </is>
      </c>
      <c r="B28" s="14" t="n"/>
      <c r="C28" s="14" t="n"/>
      <c r="D28" s="14" t="n"/>
    </row>
    <row r="29">
      <c r="A29" s="15" t="inlineStr">
        <is>
          <t>BIM Manager</t>
        </is>
      </c>
      <c r="C29" s="16" t="n">
        <v>70</v>
      </c>
      <c r="D29" s="17" t="inlineStr">
        <is>
          <t>PROJECT SUPPORT — Interface &amp; Back-Office</t>
        </is>
      </c>
    </row>
    <row r="30">
      <c r="A30" s="15" t="inlineStr">
        <is>
          <t>Deputy BIM Manager</t>
        </is>
      </c>
      <c r="C30" s="16" t="n">
        <v>50</v>
      </c>
      <c r="D30" s="17" t="inlineStr">
        <is>
          <t>PROJECT SUPPORT — Interface &amp; Back-Office</t>
        </is>
      </c>
    </row>
    <row r="31">
      <c r="A31" s="15" t="inlineStr">
        <is>
          <t>Information Manager</t>
        </is>
      </c>
      <c r="C31" s="16" t="n">
        <v>65</v>
      </c>
      <c r="D31" s="17" t="inlineStr">
        <is>
          <t>PROJECT SUPPORT — Interface &amp; Back-Office</t>
        </is>
      </c>
    </row>
    <row r="32">
      <c r="A32" s="15" t="inlineStr">
        <is>
          <t>Deputy Information Manager</t>
        </is>
      </c>
      <c r="C32" s="16" t="n">
        <v>48</v>
      </c>
      <c r="D32" s="17" t="inlineStr">
        <is>
          <t>PROJECT SUPPORT — Interface &amp; Back-Office</t>
        </is>
      </c>
    </row>
    <row r="33">
      <c r="A33" s="15" t="inlineStr">
        <is>
          <t>Senior GIS Consultant</t>
        </is>
      </c>
      <c r="C33" s="16" t="n">
        <v>65</v>
      </c>
      <c r="D33" s="17" t="inlineStr">
        <is>
          <t>PROJECT SUPPORT — Interface &amp; Back-Office</t>
        </is>
      </c>
    </row>
    <row r="34">
      <c r="A34" s="15" t="inlineStr">
        <is>
          <t>Senior GIS Analyst</t>
        </is>
      </c>
      <c r="C34" s="16" t="n">
        <v>48</v>
      </c>
      <c r="D34" s="17" t="inlineStr">
        <is>
          <t>PROJECT SUPPORT — Interface &amp; Back-Office</t>
        </is>
      </c>
    </row>
    <row r="35">
      <c r="A35" s="15" t="inlineStr">
        <is>
          <t>Surveys Coordinator</t>
        </is>
      </c>
      <c r="C35" s="16" t="n">
        <v>48</v>
      </c>
      <c r="D35" s="17" t="inlineStr">
        <is>
          <t>PROJECT SUPPORT — Interface &amp; Back-Office</t>
        </is>
      </c>
    </row>
    <row r="36">
      <c r="A36" s="15" t="inlineStr">
        <is>
          <t>CDE Document Controller (project)</t>
        </is>
      </c>
      <c r="C36" s="16" t="n">
        <v>40</v>
      </c>
      <c r="D36" s="17" t="inlineStr">
        <is>
          <t>PROJECT SUPPORT — Interface &amp; Back-Office</t>
        </is>
      </c>
    </row>
    <row r="37">
      <c r="A37" s="15" t="inlineStr">
        <is>
          <t>BusConnects Interface</t>
        </is>
      </c>
      <c r="C37" s="16" t="n">
        <v>60</v>
      </c>
      <c r="D37" s="17" t="inlineStr">
        <is>
          <t>PROJECT SUPPORT — Interface &amp; Back-Office</t>
        </is>
      </c>
    </row>
    <row r="38">
      <c r="A38" s="15" t="inlineStr">
        <is>
          <t>DAA Interface</t>
        </is>
      </c>
      <c r="C38" s="16" t="n">
        <v>60</v>
      </c>
      <c r="D38" s="17" t="inlineStr">
        <is>
          <t>PROJECT SUPPORT — Interface &amp; Back-Office</t>
        </is>
      </c>
    </row>
    <row r="39">
      <c r="A39" s="15" t="inlineStr">
        <is>
          <t>UAO Engagement Team</t>
        </is>
      </c>
      <c r="C39" s="16" t="n">
        <v>52</v>
      </c>
      <c r="D39" s="17" t="inlineStr">
        <is>
          <t>PROJECT SUPPORT — Interface &amp; Back-Office</t>
        </is>
      </c>
    </row>
    <row r="40">
      <c r="A40" s="15" t="inlineStr">
        <is>
          <t>Administrator</t>
        </is>
      </c>
      <c r="C40" s="16" t="n">
        <v>32</v>
      </c>
      <c r="D40" s="17" t="inlineStr">
        <is>
          <t>PROJECT SUPPORT — Interface &amp; Back-Office</t>
        </is>
      </c>
    </row>
    <row r="41">
      <c r="A41" s="15" t="inlineStr">
        <is>
          <t>Health &amp; Safety Advisor</t>
        </is>
      </c>
      <c r="C41" s="16" t="n">
        <v>60</v>
      </c>
      <c r="D41" s="17" t="inlineStr">
        <is>
          <t>PROJECT SUPPORT — Interface &amp; Back-Office</t>
        </is>
      </c>
    </row>
    <row r="42">
      <c r="A42" s="15" t="inlineStr">
        <is>
          <t>QA / QC Manager</t>
        </is>
      </c>
      <c r="C42" s="16" t="n">
        <v>65</v>
      </c>
      <c r="D42" s="17" t="inlineStr">
        <is>
          <t>PROJECT SUPPORT — Interface &amp; Back-Office</t>
        </is>
      </c>
    </row>
    <row r="43">
      <c r="A43" s="15" t="inlineStr">
        <is>
          <t>Risk Manager</t>
        </is>
      </c>
      <c r="C43" s="16" t="n">
        <v>70</v>
      </c>
      <c r="D43" s="17" t="inlineStr">
        <is>
          <t>PROJECT SUPPORT — Interface &amp; Back-Office</t>
        </is>
      </c>
    </row>
    <row r="44">
      <c r="A44" s="15" t="inlineStr">
        <is>
          <t>Project Controls Analyst</t>
        </is>
      </c>
      <c r="C44" s="16" t="n">
        <v>55</v>
      </c>
      <c r="D44" s="17" t="inlineStr">
        <is>
          <t>PROJECT SUPPORT — Interface &amp; Back-Office</t>
        </is>
      </c>
    </row>
    <row r="45">
      <c r="A45" s="15" t="inlineStr">
        <is>
          <t>HR &amp; People Coordinator</t>
        </is>
      </c>
      <c r="C45" s="16" t="n">
        <v>42</v>
      </c>
      <c r="D45" s="17" t="inlineStr">
        <is>
          <t>PROJECT SUPPORT — Interface &amp; Back-Office</t>
        </is>
      </c>
    </row>
    <row r="46">
      <c r="A46" s="15" t="inlineStr">
        <is>
          <t>IT / Systems Support</t>
        </is>
      </c>
      <c r="C46" s="16" t="n">
        <v>42</v>
      </c>
      <c r="D46" s="17" t="inlineStr">
        <is>
          <t>PROJECT SUPPORT — Interface &amp; Back-Office</t>
        </is>
      </c>
    </row>
    <row r="47">
      <c r="A47" s="15" t="inlineStr">
        <is>
          <t>Communications &amp; Stakeholder Liaison</t>
        </is>
      </c>
      <c r="C47" s="16" t="n">
        <v>52</v>
      </c>
      <c r="D47" s="17" t="inlineStr">
        <is>
          <t>PROJECT SUPPORT — Interface &amp; Back-Office</t>
        </is>
      </c>
    </row>
    <row r="48">
      <c r="A48" s="15" t="inlineStr">
        <is>
          <t>Training &amp; Competency Coordinator</t>
        </is>
      </c>
      <c r="C48" s="16" t="n">
        <v>45</v>
      </c>
      <c r="D48" s="17" t="inlineStr">
        <is>
          <t>PROJECT SUPPORT — Interface &amp; Back-Office</t>
        </is>
      </c>
    </row>
    <row r="49">
      <c r="A49" s="15" t="inlineStr">
        <is>
          <t>Office Manager</t>
        </is>
      </c>
      <c r="C49" s="16" t="n">
        <v>42</v>
      </c>
      <c r="D49" s="17" t="inlineStr">
        <is>
          <t>PROJECT SUPPORT — Interface &amp; Back-Office</t>
        </is>
      </c>
    </row>
    <row r="50">
      <c r="A50" s="13" t="inlineStr">
        <is>
          <t>DESIGNERS (reachback)</t>
        </is>
      </c>
      <c r="B50" s="14" t="n"/>
      <c r="C50" s="14" t="n"/>
      <c r="D50" s="14" t="n"/>
    </row>
    <row r="51">
      <c r="A51" s="15" t="inlineStr">
        <is>
          <t>Design Management / Coordination</t>
        </is>
      </c>
      <c r="C51" s="16" t="n">
        <v>110</v>
      </c>
      <c r="D51" s="17" t="inlineStr">
        <is>
          <t>DESIGNERS (reachback)</t>
        </is>
      </c>
    </row>
    <row r="52">
      <c r="A52" s="15" t="inlineStr">
        <is>
          <t>Utilities South</t>
        </is>
      </c>
      <c r="C52" s="16" t="n">
        <v>95</v>
      </c>
      <c r="D52" s="17" t="inlineStr">
        <is>
          <t>DESIGNERS (reachback)</t>
        </is>
      </c>
    </row>
    <row r="53">
      <c r="A53" s="15" t="inlineStr">
        <is>
          <t>Sustainability</t>
        </is>
      </c>
      <c r="C53" s="16" t="n">
        <v>90</v>
      </c>
      <c r="D53" s="17" t="inlineStr">
        <is>
          <t>DESIGNERS (reachback)</t>
        </is>
      </c>
    </row>
    <row r="54">
      <c r="A54" s="15" t="inlineStr">
        <is>
          <t>Land Access</t>
        </is>
      </c>
      <c r="C54" s="16" t="n">
        <v>90</v>
      </c>
      <c r="D54" s="17" t="inlineStr">
        <is>
          <t>DESIGNERS (reachback)</t>
        </is>
      </c>
    </row>
    <row r="55">
      <c r="A55" s="15" t="inlineStr">
        <is>
          <t>Structures</t>
        </is>
      </c>
      <c r="C55" s="16" t="n">
        <v>100</v>
      </c>
      <c r="D55" s="17" t="inlineStr">
        <is>
          <t>DESIGNERS (reachback)</t>
        </is>
      </c>
    </row>
    <row r="56">
      <c r="A56" s="15" t="inlineStr">
        <is>
          <t>Heritage</t>
        </is>
      </c>
      <c r="C56" s="16" t="n">
        <v>90</v>
      </c>
      <c r="D56" s="17" t="inlineStr">
        <is>
          <t>DESIGNERS (reachback)</t>
        </is>
      </c>
    </row>
    <row r="57">
      <c r="A57" s="15" t="inlineStr">
        <is>
          <t>Cellars &amp; Playing Pitches</t>
        </is>
      </c>
      <c r="C57" s="16" t="n">
        <v>90</v>
      </c>
      <c r="D57" s="17" t="inlineStr">
        <is>
          <t>DESIGNERS (reachback)</t>
        </is>
      </c>
    </row>
    <row r="58">
      <c r="A58" s="15" t="inlineStr">
        <is>
          <t>Archaeology</t>
        </is>
      </c>
      <c r="C58" s="16" t="n">
        <v>90</v>
      </c>
      <c r="D58" s="17" t="inlineStr">
        <is>
          <t>DESIGNERS (reachback)</t>
        </is>
      </c>
    </row>
    <row r="59">
      <c r="A59" s="15" t="inlineStr">
        <is>
          <t>Biodiversity</t>
        </is>
      </c>
      <c r="C59" s="16" t="n">
        <v>90</v>
      </c>
      <c r="D59" s="17" t="inlineStr">
        <is>
          <t>DESIGNERS (reachback)</t>
        </is>
      </c>
    </row>
    <row r="60">
      <c r="A60" s="15" t="inlineStr">
        <is>
          <t>Env. Monitoring</t>
        </is>
      </c>
      <c r="C60" s="16" t="n">
        <v>85</v>
      </c>
      <c r="D60" s="17" t="inlineStr">
        <is>
          <t>DESIGNERS (reachback)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2" customWidth="1" min="3" max="3"/>
    <col width="16" customWidth="1" min="4" max="4"/>
    <col width="18" customWidth="1" min="5" max="5"/>
    <col width="22" customWidth="1" min="6" max="6"/>
    <col width="20" customWidth="1" min="7" max="7"/>
    <col width="16" customWidth="1" min="8" max="8"/>
  </cols>
  <sheetData>
    <row r="1">
      <c r="A1" s="1" t="inlineStr">
        <is>
          <t>Construction Stage — Resource &amp; Cost Summary</t>
        </is>
      </c>
    </row>
    <row r="2">
      <c r="A2" s="2" t="inlineStr">
        <is>
          <t>Roll-up of all categories. Cost is driven by the per-title rates on the 'Rates' tab.</t>
        </is>
      </c>
    </row>
    <row r="4">
      <c r="A4" s="12" t="inlineStr">
        <is>
          <t>Category</t>
        </is>
      </c>
      <c r="B4" s="12" t="inlineStr">
        <is>
          <t>Type</t>
        </is>
      </c>
      <c r="C4" s="12" t="inlineStr">
        <is>
          <t>Headcount</t>
        </is>
      </c>
      <c r="D4" s="12" t="inlineStr">
        <is>
          <t>FTE (modelled)</t>
        </is>
      </c>
      <c r="E4" s="12" t="inlineStr">
        <is>
          <t>Duration (months)</t>
        </is>
      </c>
      <c r="F4" s="12" t="inlineStr">
        <is>
          <t>Effort (person-months)</t>
        </is>
      </c>
      <c r="G4" s="12" t="inlineStr">
        <is>
          <t>Effort (person-years)</t>
        </is>
      </c>
      <c r="H4" s="12" t="inlineStr">
        <is>
          <t>Cost (€)</t>
        </is>
      </c>
    </row>
    <row r="5">
      <c r="A5" s="15" t="inlineStr">
        <is>
          <t>Management Team</t>
        </is>
      </c>
      <c r="B5" s="15" t="inlineStr">
        <is>
          <t>FTE (dedicated)</t>
        </is>
      </c>
      <c r="C5" s="18">
        <f>'1 · Mgmt &amp; Contract Mgrs'!B14</f>
        <v/>
      </c>
      <c r="D5" s="19">
        <f>'1 · Mgmt &amp; Contract Mgrs'!D14</f>
        <v/>
      </c>
      <c r="E5" s="18" t="n">
        <v>36</v>
      </c>
      <c r="F5" s="20">
        <f>'1 · Mgmt &amp; Contract Mgrs'!F14</f>
        <v/>
      </c>
      <c r="G5" s="20">
        <f>'1 · Mgmt &amp; Contract Mgrs'!G14</f>
        <v/>
      </c>
      <c r="H5" s="21">
        <f>'1 · Mgmt &amp; Contract Mgrs'!I14</f>
        <v/>
      </c>
    </row>
    <row r="6">
      <c r="A6" s="22" t="inlineStr">
        <is>
          <t>Contract Managers</t>
        </is>
      </c>
      <c r="B6" s="22" t="inlineStr">
        <is>
          <t>FTE (dedicated)</t>
        </is>
      </c>
      <c r="C6" s="23">
        <f>'1 · Mgmt &amp; Contract Mgrs'!B18</f>
        <v/>
      </c>
      <c r="D6" s="24">
        <f>'1 · Mgmt &amp; Contract Mgrs'!D18</f>
        <v/>
      </c>
      <c r="E6" s="23" t="n">
        <v>18</v>
      </c>
      <c r="F6" s="25">
        <f>'1 · Mgmt &amp; Contract Mgrs'!F18</f>
        <v/>
      </c>
      <c r="G6" s="25">
        <f>'1 · Mgmt &amp; Contract Mgrs'!G18</f>
        <v/>
      </c>
      <c r="H6" s="26">
        <f>'1 · Mgmt &amp; Contract Mgrs'!I18</f>
        <v/>
      </c>
    </row>
    <row r="7">
      <c r="A7" s="15" t="inlineStr">
        <is>
          <t>Contract Delivery Support</t>
        </is>
      </c>
      <c r="B7" s="15" t="inlineStr">
        <is>
          <t>Utilisation</t>
        </is>
      </c>
      <c r="C7" s="18">
        <f>'2 · Support Staff'!B12</f>
        <v/>
      </c>
      <c r="D7" s="19">
        <f>'2 · Support Staff'!D12</f>
        <v/>
      </c>
      <c r="E7" s="18" t="n">
        <v>18</v>
      </c>
      <c r="F7" s="20">
        <f>'2 · Support Staff'!F12</f>
        <v/>
      </c>
      <c r="G7" s="20">
        <f>'2 · Support Staff'!G12</f>
        <v/>
      </c>
      <c r="H7" s="21">
        <f>'2 · Support Staff'!I12</f>
        <v/>
      </c>
    </row>
    <row r="8">
      <c r="A8" s="22" t="inlineStr">
        <is>
          <t>Project Support (Interface &amp; Back-Office)</t>
        </is>
      </c>
      <c r="B8" s="22" t="inlineStr">
        <is>
          <t>Utilisation</t>
        </is>
      </c>
      <c r="C8" s="23">
        <f>'2 · Support Staff'!B36</f>
        <v/>
      </c>
      <c r="D8" s="24">
        <f>'2 · Support Staff'!D36</f>
        <v/>
      </c>
      <c r="E8" s="23" t="n">
        <v>18</v>
      </c>
      <c r="F8" s="25">
        <f>'2 · Support Staff'!F36</f>
        <v/>
      </c>
      <c r="G8" s="25">
        <f>'2 · Support Staff'!G36</f>
        <v/>
      </c>
      <c r="H8" s="26">
        <f>'2 · Support Staff'!I36</f>
        <v/>
      </c>
    </row>
    <row r="9">
      <c r="A9" s="15" t="inlineStr">
        <is>
          <t>Designers (reachback)</t>
        </is>
      </c>
      <c r="B9" s="15" t="inlineStr">
        <is>
          <t>Utilisation</t>
        </is>
      </c>
      <c r="C9" s="18">
        <f>'3 · Designers'!B16</f>
        <v/>
      </c>
      <c r="D9" s="19">
        <f>'3 · Designers'!D16</f>
        <v/>
      </c>
      <c r="E9" s="18" t="n">
        <v>18</v>
      </c>
      <c r="F9" s="20">
        <f>'3 · Designers'!F16</f>
        <v/>
      </c>
      <c r="G9" s="20">
        <f>'3 · Designers'!G16</f>
        <v/>
      </c>
      <c r="H9" s="21">
        <f>'3 · Designers'!I16</f>
        <v/>
      </c>
    </row>
    <row r="10">
      <c r="A10" s="27" t="inlineStr">
        <is>
          <t>TOTAL — Construction Stage</t>
        </is>
      </c>
      <c r="B10" s="27" t="n"/>
      <c r="C10" s="28">
        <f>SUM(C5:C9)</f>
        <v/>
      </c>
      <c r="D10" s="29">
        <f>SUM(D5:D9)</f>
        <v/>
      </c>
      <c r="E10" s="27" t="n"/>
      <c r="F10" s="30">
        <f>SUM(F5:F9)</f>
        <v/>
      </c>
      <c r="G10" s="30">
        <f>SUM(G5:G9)</f>
        <v/>
      </c>
      <c r="H10" s="11">
        <f>SUM(H5:H9)</f>
        <v/>
      </c>
    </row>
    <row r="12">
      <c r="A12" s="8" t="inlineStr">
        <is>
          <t>FTE (Management + Contract Managers)</t>
        </is>
      </c>
      <c r="D12" s="31">
        <f>D5+D6</f>
        <v/>
      </c>
    </row>
    <row r="13">
      <c r="A13" s="8" t="inlineStr">
        <is>
          <t>FTE-equivalent (Support + Designers)</t>
        </is>
      </c>
      <c r="D13" s="31">
        <f>D7+D8+D9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1" customWidth="1" min="2" max="2"/>
    <col width="13" customWidth="1" min="3" max="3"/>
    <col width="8" customWidth="1" min="4" max="4"/>
    <col width="16" customWidth="1" min="5" max="5"/>
    <col width="19" customWidth="1" min="6" max="6"/>
    <col width="18" customWidth="1" min="7" max="7"/>
    <col width="12" customWidth="1" min="8" max="8"/>
    <col width="14" customWidth="1" min="9" max="9"/>
    <col width="46" customWidth="1" min="10" max="10"/>
  </cols>
  <sheetData>
    <row r="1">
      <c r="A1" s="1" t="inlineStr">
        <is>
          <t>1 · Management Team &amp; Contract Managers — FTE</t>
        </is>
      </c>
    </row>
    <row r="2">
      <c r="A2" s="2" t="inlineStr">
        <is>
          <t>Dedicated full-time-equivalent resource. Each title's rate is set on the 'Rates' tab.</t>
        </is>
      </c>
    </row>
    <row r="4">
      <c r="A4" s="12" t="inlineStr">
        <is>
          <t>Role</t>
        </is>
      </c>
      <c r="B4" s="12" t="inlineStr">
        <is>
          <t>Headcount</t>
        </is>
      </c>
      <c r="C4" s="12" t="inlineStr">
        <is>
          <t>Utilisation %</t>
        </is>
      </c>
      <c r="D4" s="12" t="inlineStr">
        <is>
          <t>FTE</t>
        </is>
      </c>
      <c r="E4" s="12" t="inlineStr">
        <is>
          <t>Duration (months)</t>
        </is>
      </c>
      <c r="F4" s="12" t="inlineStr">
        <is>
          <t>Effort (person-months)</t>
        </is>
      </c>
      <c r="G4" s="12" t="inlineStr">
        <is>
          <t>Effort (person-years)</t>
        </is>
      </c>
      <c r="H4" s="12" t="inlineStr">
        <is>
          <t>Rate (€/hr)</t>
        </is>
      </c>
      <c r="I4" s="12" t="inlineStr">
        <is>
          <t>Cost (€)</t>
        </is>
      </c>
      <c r="J4" s="12" t="inlineStr">
        <is>
          <t>Basis / notes</t>
        </is>
      </c>
    </row>
    <row r="5">
      <c r="A5" s="13" t="inlineStr">
        <is>
          <t>MANAGEMENT TEAM  (36 months)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</row>
    <row r="6">
      <c r="A6" s="32" t="inlineStr">
        <is>
          <t>AWDS Project Director</t>
        </is>
      </c>
      <c r="B6" s="18" t="n">
        <v>1</v>
      </c>
      <c r="C6" s="33" t="n">
        <v>0.25</v>
      </c>
      <c r="D6" s="19">
        <f>B6*C6</f>
        <v/>
      </c>
      <c r="E6" s="18" t="n">
        <v>36</v>
      </c>
      <c r="F6" s="20">
        <f>D6*E6</f>
        <v/>
      </c>
      <c r="G6" s="20">
        <f>F6/12</f>
        <v/>
      </c>
      <c r="H6" s="34">
        <f>'Rates'!$C$11</f>
        <v/>
      </c>
      <c r="I6" s="21">
        <f>F6*'Rates'!$C$5*'Rates'!$C$11</f>
        <v/>
      </c>
      <c r="J6" s="35" t="inlineStr">
        <is>
          <t>Part-time senior oversight &amp; governance</t>
        </is>
      </c>
    </row>
    <row r="7">
      <c r="A7" s="32" t="inlineStr">
        <is>
          <t>AWDS Project Management Lead</t>
        </is>
      </c>
      <c r="B7" s="18" t="n">
        <v>1</v>
      </c>
      <c r="C7" s="33" t="n">
        <v>1</v>
      </c>
      <c r="D7" s="19">
        <f>B7*C7</f>
        <v/>
      </c>
      <c r="E7" s="18" t="n">
        <v>36</v>
      </c>
      <c r="F7" s="20">
        <f>D7*E7</f>
        <v/>
      </c>
      <c r="G7" s="20">
        <f>F7/12</f>
        <v/>
      </c>
      <c r="H7" s="34">
        <f>'Rates'!$C$12</f>
        <v/>
      </c>
      <c r="I7" s="21">
        <f>F7*'Rates'!$C$5*'Rates'!$C$12</f>
        <v/>
      </c>
      <c r="J7" s="35" t="inlineStr">
        <is>
          <t>Full-time; leads delivery across all packages</t>
        </is>
      </c>
    </row>
    <row r="8">
      <c r="A8" s="32" t="inlineStr">
        <is>
          <t>AWDS Deputy Project Manager</t>
        </is>
      </c>
      <c r="B8" s="18" t="n">
        <v>1</v>
      </c>
      <c r="C8" s="33" t="n">
        <v>1</v>
      </c>
      <c r="D8" s="19">
        <f>B8*C8</f>
        <v/>
      </c>
      <c r="E8" s="18" t="n">
        <v>36</v>
      </c>
      <c r="F8" s="20">
        <f>D8*E8</f>
        <v/>
      </c>
      <c r="G8" s="20">
        <f>F8/12</f>
        <v/>
      </c>
      <c r="H8" s="34">
        <f>'Rates'!$C$13</f>
        <v/>
      </c>
      <c r="I8" s="21">
        <f>F8*'Rates'!$C$5*'Rates'!$C$13</f>
        <v/>
      </c>
      <c r="J8" s="35" t="inlineStr">
        <is>
          <t>Full-time; daily operations &amp; coordination</t>
        </is>
      </c>
    </row>
    <row r="9">
      <c r="A9" s="32" t="inlineStr">
        <is>
          <t>AWDS Design Management Lead</t>
        </is>
      </c>
      <c r="B9" s="18" t="n">
        <v>1</v>
      </c>
      <c r="C9" s="33" t="n">
        <v>1</v>
      </c>
      <c r="D9" s="19">
        <f>B9*C9</f>
        <v/>
      </c>
      <c r="E9" s="18" t="n">
        <v>36</v>
      </c>
      <c r="F9" s="20">
        <f>D9*E9</f>
        <v/>
      </c>
      <c r="G9" s="20">
        <f>F9/12</f>
        <v/>
      </c>
      <c r="H9" s="34">
        <f>'Rates'!$C$14</f>
        <v/>
      </c>
      <c r="I9" s="21">
        <f>F9*'Rates'!$C$5*'Rates'!$C$14</f>
        <v/>
      </c>
      <c r="J9" s="35" t="inlineStr">
        <is>
          <t>Full-time; design integration &amp; reachback mgmt</t>
        </is>
      </c>
    </row>
    <row r="10">
      <c r="A10" s="32" t="inlineStr">
        <is>
          <t>AWDS PMO Lead</t>
        </is>
      </c>
      <c r="B10" s="18" t="n">
        <v>1</v>
      </c>
      <c r="C10" s="33" t="n">
        <v>1</v>
      </c>
      <c r="D10" s="19">
        <f>B10*C10</f>
        <v/>
      </c>
      <c r="E10" s="18" t="n">
        <v>36</v>
      </c>
      <c r="F10" s="20">
        <f>D10*E10</f>
        <v/>
      </c>
      <c r="G10" s="20">
        <f>F10/12</f>
        <v/>
      </c>
      <c r="H10" s="34">
        <f>'Rates'!$C$15</f>
        <v/>
      </c>
      <c r="I10" s="21">
        <f>F10*'Rates'!$C$5*'Rates'!$C$15</f>
        <v/>
      </c>
      <c r="J10" s="35" t="inlineStr">
        <is>
          <t>Full-time; controls, reporting, information mgmt</t>
        </is>
      </c>
    </row>
    <row r="11">
      <c r="A11" s="32" t="inlineStr">
        <is>
          <t>AWDS Technical Delivery Lead</t>
        </is>
      </c>
      <c r="B11" s="18" t="n">
        <v>1</v>
      </c>
      <c r="C11" s="33" t="n">
        <v>1</v>
      </c>
      <c r="D11" s="19">
        <f>B11*C11</f>
        <v/>
      </c>
      <c r="E11" s="18" t="n">
        <v>36</v>
      </c>
      <c r="F11" s="20">
        <f>D11*E11</f>
        <v/>
      </c>
      <c r="G11" s="20">
        <f>F11/12</f>
        <v/>
      </c>
      <c r="H11" s="34">
        <f>'Rates'!$C$16</f>
        <v/>
      </c>
      <c r="I11" s="21">
        <f>F11*'Rates'!$C$5*'Rates'!$C$16</f>
        <v/>
      </c>
      <c r="J11" s="35" t="inlineStr">
        <is>
          <t>Full-time; technical assurance &amp; verification</t>
        </is>
      </c>
    </row>
    <row r="12">
      <c r="A12" s="32" t="inlineStr">
        <is>
          <t>AWDS Commercial Lead</t>
        </is>
      </c>
      <c r="B12" s="18" t="n">
        <v>1</v>
      </c>
      <c r="C12" s="33" t="n">
        <v>1</v>
      </c>
      <c r="D12" s="19">
        <f>B12*C12</f>
        <v/>
      </c>
      <c r="E12" s="18" t="n">
        <v>36</v>
      </c>
      <c r="F12" s="20">
        <f>D12*E12</f>
        <v/>
      </c>
      <c r="G12" s="20">
        <f>F12/12</f>
        <v/>
      </c>
      <c r="H12" s="34">
        <f>'Rates'!$C$17</f>
        <v/>
      </c>
      <c r="I12" s="21">
        <f>F12*'Rates'!$C$5*'Rates'!$C$17</f>
        <v/>
      </c>
      <c r="J12" s="35" t="inlineStr">
        <is>
          <t>Full-time; NEC commercial &amp; change</t>
        </is>
      </c>
    </row>
    <row r="13">
      <c r="A13" s="32" t="inlineStr">
        <is>
          <t>AWDS Cost Management Lead</t>
        </is>
      </c>
      <c r="B13" s="18" t="n">
        <v>1</v>
      </c>
      <c r="C13" s="33" t="n">
        <v>1</v>
      </c>
      <c r="D13" s="19">
        <f>B13*C13</f>
        <v/>
      </c>
      <c r="E13" s="18" t="n">
        <v>36</v>
      </c>
      <c r="F13" s="20">
        <f>D13*E13</f>
        <v/>
      </c>
      <c r="G13" s="20">
        <f>F13/12</f>
        <v/>
      </c>
      <c r="H13" s="34">
        <f>'Rates'!$C$18</f>
        <v/>
      </c>
      <c r="I13" s="21">
        <f>F13*'Rates'!$C$5*'Rates'!$C$18</f>
        <v/>
      </c>
      <c r="J13" s="35" t="inlineStr">
        <is>
          <t>Full-time; cost control &amp; forecasting</t>
        </is>
      </c>
    </row>
    <row r="14">
      <c r="A14" s="36" t="inlineStr">
        <is>
          <t xml:space="preserve">   Subtotal — MANAGEMENT TEAM  (36 months)</t>
        </is>
      </c>
      <c r="B14" s="37">
        <f>SUM(B6:B13)</f>
        <v/>
      </c>
      <c r="C14" s="36" t="n"/>
      <c r="D14" s="38">
        <f>SUM(D6:D13)</f>
        <v/>
      </c>
      <c r="E14" s="36" t="n"/>
      <c r="F14" s="39">
        <f>SUM(F6:F13)</f>
        <v/>
      </c>
      <c r="G14" s="39">
        <f>SUM(G6:G13)</f>
        <v/>
      </c>
      <c r="H14" s="36" t="n"/>
      <c r="I14" s="40">
        <f>SUM(I6:I13)</f>
        <v/>
      </c>
      <c r="J14" s="36" t="n"/>
    </row>
    <row r="16">
      <c r="A16" s="13" t="inlineStr">
        <is>
          <t>CONTRACT MANAGERS  (18 months)</t>
        </is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</row>
    <row r="17">
      <c r="A17" s="32" t="inlineStr">
        <is>
          <t>AWDS Contract Manager (one per package)</t>
        </is>
      </c>
      <c r="B17" s="18" t="n">
        <v>16</v>
      </c>
      <c r="C17" s="33" t="n">
        <v>1</v>
      </c>
      <c r="D17" s="19">
        <f>B17*C17</f>
        <v/>
      </c>
      <c r="E17" s="18" t="n">
        <v>18</v>
      </c>
      <c r="F17" s="20">
        <f>D17*E17</f>
        <v/>
      </c>
      <c r="G17" s="20">
        <f>F17/12</f>
        <v/>
      </c>
      <c r="H17" s="34">
        <f>'Rates'!$C$20</f>
        <v/>
      </c>
      <c r="I17" s="21">
        <f>F17*'Rates'!$C$5*'Rates'!$C$20</f>
        <v/>
      </c>
      <c r="J17" s="35" t="inlineStr">
        <is>
          <t>Package PM: RFIs, contractor &amp; utility-owner meetings, design-proposal review, as-builts, NEC admin</t>
        </is>
      </c>
    </row>
    <row r="18">
      <c r="A18" s="36" t="inlineStr">
        <is>
          <t xml:space="preserve">   Subtotal — CONTRACT MANAGERS  (18 months)</t>
        </is>
      </c>
      <c r="B18" s="37">
        <f>SUM(B17:B17)</f>
        <v/>
      </c>
      <c r="C18" s="36" t="n"/>
      <c r="D18" s="38">
        <f>SUM(D17:D17)</f>
        <v/>
      </c>
      <c r="E18" s="36" t="n"/>
      <c r="F18" s="39">
        <f>SUM(F17:F17)</f>
        <v/>
      </c>
      <c r="G18" s="39">
        <f>SUM(G17:G17)</f>
        <v/>
      </c>
      <c r="H18" s="36" t="n"/>
      <c r="I18" s="40">
        <f>SUM(I17:I17)</f>
        <v/>
      </c>
      <c r="J18" s="36" t="n"/>
    </row>
    <row r="20">
      <c r="A20" s="27" t="inlineStr">
        <is>
          <t>TOTAL</t>
        </is>
      </c>
      <c r="B20" s="28">
        <f>B14+B18</f>
        <v/>
      </c>
      <c r="C20" s="28" t="n"/>
      <c r="D20" s="29">
        <f>D14+D18</f>
        <v/>
      </c>
      <c r="E20" s="28" t="n"/>
      <c r="F20" s="30">
        <f>F14+F18</f>
        <v/>
      </c>
      <c r="G20" s="30">
        <f>G14+G18</f>
        <v/>
      </c>
      <c r="H20" s="28" t="n"/>
      <c r="I20" s="11">
        <f>I14+I18</f>
        <v/>
      </c>
      <c r="J20" s="28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1" customWidth="1" min="2" max="2"/>
    <col width="13" customWidth="1" min="3" max="3"/>
    <col width="8" customWidth="1" min="4" max="4"/>
    <col width="16" customWidth="1" min="5" max="5"/>
    <col width="19" customWidth="1" min="6" max="6"/>
    <col width="18" customWidth="1" min="7" max="7"/>
    <col width="12" customWidth="1" min="8" max="8"/>
    <col width="14" customWidth="1" min="9" max="9"/>
    <col width="46" customWidth="1" min="10" max="10"/>
  </cols>
  <sheetData>
    <row r="1">
      <c r="A1" s="1" t="inlineStr">
        <is>
          <t>2 · Support Staff — utilisation-based (non-FTE)</t>
        </is>
      </c>
    </row>
    <row r="2">
      <c r="A2" s="2" t="inlineStr">
        <is>
          <t>Shared / part-time resources. Each title's rate is set on the 'Rates' tab.</t>
        </is>
      </c>
    </row>
    <row r="4">
      <c r="A4" s="12" t="inlineStr">
        <is>
          <t>Role</t>
        </is>
      </c>
      <c r="B4" s="12" t="inlineStr">
        <is>
          <t>Headcount</t>
        </is>
      </c>
      <c r="C4" s="12" t="inlineStr">
        <is>
          <t>Utilisation %</t>
        </is>
      </c>
      <c r="D4" s="12" t="inlineStr">
        <is>
          <t>FTE</t>
        </is>
      </c>
      <c r="E4" s="12" t="inlineStr">
        <is>
          <t>Duration (months)</t>
        </is>
      </c>
      <c r="F4" s="12" t="inlineStr">
        <is>
          <t>Effort (person-months)</t>
        </is>
      </c>
      <c r="G4" s="12" t="inlineStr">
        <is>
          <t>Effort (person-years)</t>
        </is>
      </c>
      <c r="H4" s="12" t="inlineStr">
        <is>
          <t>Rate (€/hr)</t>
        </is>
      </c>
      <c r="I4" s="12" t="inlineStr">
        <is>
          <t>Cost (€)</t>
        </is>
      </c>
      <c r="J4" s="12" t="inlineStr">
        <is>
          <t>Basis / notes</t>
        </is>
      </c>
    </row>
    <row r="5">
      <c r="A5" s="13" t="inlineStr">
        <is>
          <t>CONTRACT DELIVERY SUPPORT  (team around the Contract Managers, 18 months)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</row>
    <row r="6">
      <c r="A6" s="41" t="inlineStr">
        <is>
          <t>Contracts / Technical Engineer</t>
        </is>
      </c>
      <c r="B6" s="42" t="n">
        <v>8</v>
      </c>
      <c r="C6" s="43" t="n">
        <v>0.75</v>
      </c>
      <c r="D6" s="44">
        <f>B6*C6</f>
        <v/>
      </c>
      <c r="E6" s="42" t="n">
        <v>18</v>
      </c>
      <c r="F6" s="45">
        <f>D6*E6</f>
        <v/>
      </c>
      <c r="G6" s="45">
        <f>F6/12</f>
        <v/>
      </c>
      <c r="H6" s="46">
        <f>'Rates'!$C$22</f>
        <v/>
      </c>
      <c r="I6" s="47">
        <f>F6*'Rates'!$C$5*'Rates'!$C$22</f>
        <v/>
      </c>
      <c r="J6" s="48" t="inlineStr">
        <is>
          <t>Reviews contractor design proposals, raises/closes RFIs (~1 per 2 packages)</t>
        </is>
      </c>
    </row>
    <row r="7">
      <c r="A7" s="41" t="inlineStr">
        <is>
          <t>Document Controller / As-Built Coordinator</t>
        </is>
      </c>
      <c r="B7" s="42" t="n">
        <v>4</v>
      </c>
      <c r="C7" s="43" t="n">
        <v>0.6</v>
      </c>
      <c r="D7" s="44">
        <f>B7*C7</f>
        <v/>
      </c>
      <c r="E7" s="42" t="n">
        <v>18</v>
      </c>
      <c r="F7" s="45">
        <f>D7*E7</f>
        <v/>
      </c>
      <c r="G7" s="45">
        <f>F7/12</f>
        <v/>
      </c>
      <c r="H7" s="46">
        <f>'Rates'!$C$23</f>
        <v/>
      </c>
      <c r="I7" s="47">
        <f>F7*'Rates'!$C$5*'Rates'!$C$23</f>
        <v/>
      </c>
      <c r="J7" s="48" t="inlineStr">
        <is>
          <t>Manages &amp; updates as-built drawings and CDE (~1 per 4 packages)</t>
        </is>
      </c>
    </row>
    <row r="8">
      <c r="A8" s="41" t="inlineStr">
        <is>
          <t>Quantity Surveyor / Commercial Support</t>
        </is>
      </c>
      <c r="B8" s="42" t="n">
        <v>4</v>
      </c>
      <c r="C8" s="43" t="n">
        <v>0.6</v>
      </c>
      <c r="D8" s="44">
        <f>B8*C8</f>
        <v/>
      </c>
      <c r="E8" s="42" t="n">
        <v>18</v>
      </c>
      <c r="F8" s="45">
        <f>D8*E8</f>
        <v/>
      </c>
      <c r="G8" s="45">
        <f>F8/12</f>
        <v/>
      </c>
      <c r="H8" s="46">
        <f>'Rates'!$C$24</f>
        <v/>
      </c>
      <c r="I8" s="47">
        <f>F8*'Rates'!$C$5*'Rates'!$C$24</f>
        <v/>
      </c>
      <c r="J8" s="48" t="inlineStr">
        <is>
          <t>NEC change, valuations and payment support (~1 per 4 packages)</t>
        </is>
      </c>
    </row>
    <row r="9">
      <c r="A9" s="41" t="inlineStr">
        <is>
          <t>Utilities Liaison Coordinator</t>
        </is>
      </c>
      <c r="B9" s="42" t="n">
        <v>2</v>
      </c>
      <c r="C9" s="43" t="n">
        <v>0.5</v>
      </c>
      <c r="D9" s="44">
        <f>B9*C9</f>
        <v/>
      </c>
      <c r="E9" s="42" t="n">
        <v>18</v>
      </c>
      <c r="F9" s="45">
        <f>D9*E9</f>
        <v/>
      </c>
      <c r="G9" s="45">
        <f>F9/12</f>
        <v/>
      </c>
      <c r="H9" s="46">
        <f>'Rates'!$C$25</f>
        <v/>
      </c>
      <c r="I9" s="47">
        <f>F9*'Rates'!$C$5*'Rates'!$C$25</f>
        <v/>
      </c>
      <c r="J9" s="48" t="inlineStr">
        <is>
          <t>Meetings &amp; coordination with utility asset owners</t>
        </is>
      </c>
    </row>
    <row r="10">
      <c r="A10" s="41" t="inlineStr">
        <is>
          <t>CEMP / Environmental Coordinator</t>
        </is>
      </c>
      <c r="B10" s="42" t="n">
        <v>2</v>
      </c>
      <c r="C10" s="43" t="n">
        <v>0.4</v>
      </c>
      <c r="D10" s="44">
        <f>B10*C10</f>
        <v/>
      </c>
      <c r="E10" s="42" t="n">
        <v>18</v>
      </c>
      <c r="F10" s="45">
        <f>D10*E10</f>
        <v/>
      </c>
      <c r="G10" s="45">
        <f>F10/12</f>
        <v/>
      </c>
      <c r="H10" s="46">
        <f>'Rates'!$C$26</f>
        <v/>
      </c>
      <c r="I10" s="47">
        <f>F10*'Rates'!$C$5*'Rates'!$C$26</f>
        <v/>
      </c>
      <c r="J10" s="48" t="inlineStr">
        <is>
          <t>Environmental compliance and CEMP across packages</t>
        </is>
      </c>
    </row>
    <row r="11">
      <c r="A11" s="41" t="inlineStr">
        <is>
          <t>Planner / Scheduler (package)</t>
        </is>
      </c>
      <c r="B11" s="42" t="n">
        <v>2</v>
      </c>
      <c r="C11" s="43" t="n">
        <v>0.5</v>
      </c>
      <c r="D11" s="44">
        <f>B11*C11</f>
        <v/>
      </c>
      <c r="E11" s="42" t="n">
        <v>18</v>
      </c>
      <c r="F11" s="45">
        <f>D11*E11</f>
        <v/>
      </c>
      <c r="G11" s="45">
        <f>F11/12</f>
        <v/>
      </c>
      <c r="H11" s="46">
        <f>'Rates'!$C$27</f>
        <v/>
      </c>
      <c r="I11" s="47">
        <f>F11*'Rates'!$C$5*'Rates'!$C$27</f>
        <v/>
      </c>
      <c r="J11" s="48" t="inlineStr">
        <is>
          <t>Programme tracking at package level</t>
        </is>
      </c>
    </row>
    <row r="12">
      <c r="A12" s="36" t="inlineStr">
        <is>
          <t xml:space="preserve">   Subtotal — CONTRACT DELIVERY SUPPORT  (team around the Contract Managers, 18 months)</t>
        </is>
      </c>
      <c r="B12" s="37">
        <f>SUM(B6:B11)</f>
        <v/>
      </c>
      <c r="C12" s="36" t="n"/>
      <c r="D12" s="38">
        <f>SUM(D6:D11)</f>
        <v/>
      </c>
      <c r="E12" s="36" t="n"/>
      <c r="F12" s="39">
        <f>SUM(F6:F11)</f>
        <v/>
      </c>
      <c r="G12" s="39">
        <f>SUM(G6:G11)</f>
        <v/>
      </c>
      <c r="H12" s="36" t="n"/>
      <c r="I12" s="40">
        <f>SUM(I6:I11)</f>
        <v/>
      </c>
      <c r="J12" s="36" t="n"/>
    </row>
    <row r="14">
      <c r="A14" s="13" t="inlineStr">
        <is>
          <t>PROJECT SUPPORT — Interface &amp; Back-Office  (18 months)</t>
        </is>
      </c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</row>
    <row r="15">
      <c r="A15" s="49" t="inlineStr">
        <is>
          <t>BIM Manager</t>
        </is>
      </c>
      <c r="B15" s="50" t="n">
        <v>1</v>
      </c>
      <c r="C15" s="51" t="n">
        <v>0.5</v>
      </c>
      <c r="D15" s="52">
        <f>B15*C15</f>
        <v/>
      </c>
      <c r="E15" s="50" t="n">
        <v>18</v>
      </c>
      <c r="F15" s="53">
        <f>D15*E15</f>
        <v/>
      </c>
      <c r="G15" s="53">
        <f>F15/12</f>
        <v/>
      </c>
      <c r="H15" s="54">
        <f>'Rates'!$C$29</f>
        <v/>
      </c>
      <c r="I15" s="55">
        <f>F15*'Rates'!$C$5*'Rates'!$C$29</f>
        <v/>
      </c>
      <c r="J15" s="56" t="inlineStr">
        <is>
          <t>Shared across programme</t>
        </is>
      </c>
    </row>
    <row r="16">
      <c r="A16" s="49" t="inlineStr">
        <is>
          <t>Deputy BIM Manager</t>
        </is>
      </c>
      <c r="B16" s="50" t="n">
        <v>1</v>
      </c>
      <c r="C16" s="51" t="n">
        <v>0.5</v>
      </c>
      <c r="D16" s="52">
        <f>B16*C16</f>
        <v/>
      </c>
      <c r="E16" s="50" t="n">
        <v>18</v>
      </c>
      <c r="F16" s="53">
        <f>D16*E16</f>
        <v/>
      </c>
      <c r="G16" s="53">
        <f>F16/12</f>
        <v/>
      </c>
      <c r="H16" s="54">
        <f>'Rates'!$C$30</f>
        <v/>
      </c>
      <c r="I16" s="55">
        <f>F16*'Rates'!$C$5*'Rates'!$C$30</f>
        <v/>
      </c>
      <c r="J16" s="56" t="inlineStr"/>
    </row>
    <row r="17">
      <c r="A17" s="49" t="inlineStr">
        <is>
          <t>Information Manager</t>
        </is>
      </c>
      <c r="B17" s="50" t="n">
        <v>1</v>
      </c>
      <c r="C17" s="51" t="n">
        <v>0.5</v>
      </c>
      <c r="D17" s="52">
        <f>B17*C17</f>
        <v/>
      </c>
      <c r="E17" s="50" t="n">
        <v>18</v>
      </c>
      <c r="F17" s="53">
        <f>D17*E17</f>
        <v/>
      </c>
      <c r="G17" s="53">
        <f>F17/12</f>
        <v/>
      </c>
      <c r="H17" s="54">
        <f>'Rates'!$C$31</f>
        <v/>
      </c>
      <c r="I17" s="55">
        <f>F17*'Rates'!$C$5*'Rates'!$C$31</f>
        <v/>
      </c>
      <c r="J17" s="56" t="inlineStr"/>
    </row>
    <row r="18">
      <c r="A18" s="49" t="inlineStr">
        <is>
          <t>Deputy Information Manager</t>
        </is>
      </c>
      <c r="B18" s="50" t="n">
        <v>1</v>
      </c>
      <c r="C18" s="51" t="n">
        <v>0.4</v>
      </c>
      <c r="D18" s="52">
        <f>B18*C18</f>
        <v/>
      </c>
      <c r="E18" s="50" t="n">
        <v>18</v>
      </c>
      <c r="F18" s="53">
        <f>D18*E18</f>
        <v/>
      </c>
      <c r="G18" s="53">
        <f>F18/12</f>
        <v/>
      </c>
      <c r="H18" s="54">
        <f>'Rates'!$C$32</f>
        <v/>
      </c>
      <c r="I18" s="55">
        <f>F18*'Rates'!$C$5*'Rates'!$C$32</f>
        <v/>
      </c>
      <c r="J18" s="56" t="inlineStr"/>
    </row>
    <row r="19">
      <c r="A19" s="49" t="inlineStr">
        <is>
          <t>Senior GIS Consultant</t>
        </is>
      </c>
      <c r="B19" s="50" t="n">
        <v>1</v>
      </c>
      <c r="C19" s="51" t="n">
        <v>0.3</v>
      </c>
      <c r="D19" s="52">
        <f>B19*C19</f>
        <v/>
      </c>
      <c r="E19" s="50" t="n">
        <v>18</v>
      </c>
      <c r="F19" s="53">
        <f>D19*E19</f>
        <v/>
      </c>
      <c r="G19" s="53">
        <f>F19/12</f>
        <v/>
      </c>
      <c r="H19" s="54">
        <f>'Rates'!$C$33</f>
        <v/>
      </c>
      <c r="I19" s="55">
        <f>F19*'Rates'!$C$5*'Rates'!$C$33</f>
        <v/>
      </c>
      <c r="J19" s="56" t="inlineStr">
        <is>
          <t>On-demand</t>
        </is>
      </c>
    </row>
    <row r="20">
      <c r="A20" s="49" t="inlineStr">
        <is>
          <t>Senior GIS Analyst</t>
        </is>
      </c>
      <c r="B20" s="50" t="n">
        <v>1</v>
      </c>
      <c r="C20" s="51" t="n">
        <v>0.4</v>
      </c>
      <c r="D20" s="52">
        <f>B20*C20</f>
        <v/>
      </c>
      <c r="E20" s="50" t="n">
        <v>18</v>
      </c>
      <c r="F20" s="53">
        <f>D20*E20</f>
        <v/>
      </c>
      <c r="G20" s="53">
        <f>F20/12</f>
        <v/>
      </c>
      <c r="H20" s="54">
        <f>'Rates'!$C$34</f>
        <v/>
      </c>
      <c r="I20" s="55">
        <f>F20*'Rates'!$C$5*'Rates'!$C$34</f>
        <v/>
      </c>
      <c r="J20" s="56" t="inlineStr"/>
    </row>
    <row r="21">
      <c r="A21" s="49" t="inlineStr">
        <is>
          <t>Surveys Coordinator</t>
        </is>
      </c>
      <c r="B21" s="50" t="n">
        <v>1</v>
      </c>
      <c r="C21" s="51" t="n">
        <v>0.3</v>
      </c>
      <c r="D21" s="52">
        <f>B21*C21</f>
        <v/>
      </c>
      <c r="E21" s="50" t="n">
        <v>18</v>
      </c>
      <c r="F21" s="53">
        <f>D21*E21</f>
        <v/>
      </c>
      <c r="G21" s="53">
        <f>F21/12</f>
        <v/>
      </c>
      <c r="H21" s="54">
        <f>'Rates'!$C$35</f>
        <v/>
      </c>
      <c r="I21" s="55">
        <f>F21*'Rates'!$C$5*'Rates'!$C$35</f>
        <v/>
      </c>
      <c r="J21" s="56" t="inlineStr">
        <is>
          <t>Ad-hoc survey requests</t>
        </is>
      </c>
    </row>
    <row r="22">
      <c r="A22" s="49" t="inlineStr">
        <is>
          <t>CDE Document Controller (project)</t>
        </is>
      </c>
      <c r="B22" s="50" t="n">
        <v>1</v>
      </c>
      <c r="C22" s="51" t="n">
        <v>0.7</v>
      </c>
      <c r="D22" s="52">
        <f>B22*C22</f>
        <v/>
      </c>
      <c r="E22" s="50" t="n">
        <v>18</v>
      </c>
      <c r="F22" s="53">
        <f>D22*E22</f>
        <v/>
      </c>
      <c r="G22" s="53">
        <f>F22/12</f>
        <v/>
      </c>
      <c r="H22" s="54">
        <f>'Rates'!$C$36</f>
        <v/>
      </c>
      <c r="I22" s="55">
        <f>F22*'Rates'!$C$5*'Rates'!$C$36</f>
        <v/>
      </c>
      <c r="J22" s="56" t="inlineStr">
        <is>
          <t>Project-wide CDE</t>
        </is>
      </c>
    </row>
    <row r="23">
      <c r="A23" s="49" t="inlineStr">
        <is>
          <t>BusConnects Interface</t>
        </is>
      </c>
      <c r="B23" s="50" t="n">
        <v>1</v>
      </c>
      <c r="C23" s="51" t="n">
        <v>0.2</v>
      </c>
      <c r="D23" s="52">
        <f>B23*C23</f>
        <v/>
      </c>
      <c r="E23" s="50" t="n">
        <v>18</v>
      </c>
      <c r="F23" s="53">
        <f>D23*E23</f>
        <v/>
      </c>
      <c r="G23" s="53">
        <f>F23/12</f>
        <v/>
      </c>
      <c r="H23" s="54">
        <f>'Rates'!$C$37</f>
        <v/>
      </c>
      <c r="I23" s="55">
        <f>F23*'Rates'!$C$5*'Rates'!$C$37</f>
        <v/>
      </c>
      <c r="J23" s="56" t="inlineStr">
        <is>
          <t>Interface management</t>
        </is>
      </c>
    </row>
    <row r="24">
      <c r="A24" s="49" t="inlineStr">
        <is>
          <t>DAA Interface</t>
        </is>
      </c>
      <c r="B24" s="50" t="n">
        <v>1</v>
      </c>
      <c r="C24" s="51" t="n">
        <v>0.2</v>
      </c>
      <c r="D24" s="52">
        <f>B24*C24</f>
        <v/>
      </c>
      <c r="E24" s="50" t="n">
        <v>18</v>
      </c>
      <c r="F24" s="53">
        <f>D24*E24</f>
        <v/>
      </c>
      <c r="G24" s="53">
        <f>F24/12</f>
        <v/>
      </c>
      <c r="H24" s="54">
        <f>'Rates'!$C$38</f>
        <v/>
      </c>
      <c r="I24" s="55">
        <f>F24*'Rates'!$C$5*'Rates'!$C$38</f>
        <v/>
      </c>
      <c r="J24" s="56" t="inlineStr">
        <is>
          <t>Interface management</t>
        </is>
      </c>
    </row>
    <row r="25">
      <c r="A25" s="49" t="inlineStr">
        <is>
          <t>UAO Engagement Team</t>
        </is>
      </c>
      <c r="B25" s="50" t="n">
        <v>2</v>
      </c>
      <c r="C25" s="51" t="n">
        <v>0.3</v>
      </c>
      <c r="D25" s="52">
        <f>B25*C25</f>
        <v/>
      </c>
      <c r="E25" s="50" t="n">
        <v>18</v>
      </c>
      <c r="F25" s="53">
        <f>D25*E25</f>
        <v/>
      </c>
      <c r="G25" s="53">
        <f>F25/12</f>
        <v/>
      </c>
      <c r="H25" s="54">
        <f>'Rates'!$C$39</f>
        <v/>
      </c>
      <c r="I25" s="55">
        <f>F25*'Rates'!$C$5*'Rates'!$C$39</f>
        <v/>
      </c>
      <c r="J25" s="56" t="inlineStr">
        <is>
          <t>Utility/asset-owner engagement</t>
        </is>
      </c>
    </row>
    <row r="26">
      <c r="A26" s="49" t="inlineStr">
        <is>
          <t>Administrator</t>
        </is>
      </c>
      <c r="B26" s="50" t="n">
        <v>2</v>
      </c>
      <c r="C26" s="51" t="n">
        <v>0.8</v>
      </c>
      <c r="D26" s="52">
        <f>B26*C26</f>
        <v/>
      </c>
      <c r="E26" s="50" t="n">
        <v>18</v>
      </c>
      <c r="F26" s="53">
        <f>D26*E26</f>
        <v/>
      </c>
      <c r="G26" s="53">
        <f>F26/12</f>
        <v/>
      </c>
      <c r="H26" s="54">
        <f>'Rates'!$C$40</f>
        <v/>
      </c>
      <c r="I26" s="55">
        <f>F26*'Rates'!$C$5*'Rates'!$C$40</f>
        <v/>
      </c>
      <c r="J26" s="56" t="inlineStr">
        <is>
          <t>Team &amp; document admin</t>
        </is>
      </c>
    </row>
    <row r="27">
      <c r="A27" s="49" t="inlineStr">
        <is>
          <t>Health &amp; Safety Advisor</t>
        </is>
      </c>
      <c r="B27" s="50" t="n">
        <v>1</v>
      </c>
      <c r="C27" s="51" t="n">
        <v>0.5</v>
      </c>
      <c r="D27" s="52">
        <f>B27*C27</f>
        <v/>
      </c>
      <c r="E27" s="50" t="n">
        <v>18</v>
      </c>
      <c r="F27" s="53">
        <f>D27*E27</f>
        <v/>
      </c>
      <c r="G27" s="53">
        <f>F27/12</f>
        <v/>
      </c>
      <c r="H27" s="54">
        <f>'Rates'!$C$41</f>
        <v/>
      </c>
      <c r="I27" s="55">
        <f>F27*'Rates'!$C$5*'Rates'!$C$41</f>
        <v/>
      </c>
      <c r="J27" s="56" t="inlineStr">
        <is>
          <t>CDM / safety in design support</t>
        </is>
      </c>
    </row>
    <row r="28">
      <c r="A28" s="49" t="inlineStr">
        <is>
          <t>QA / QC Manager</t>
        </is>
      </c>
      <c r="B28" s="50" t="n">
        <v>1</v>
      </c>
      <c r="C28" s="51" t="n">
        <v>0.5</v>
      </c>
      <c r="D28" s="52">
        <f>B28*C28</f>
        <v/>
      </c>
      <c r="E28" s="50" t="n">
        <v>18</v>
      </c>
      <c r="F28" s="53">
        <f>D28*E28</f>
        <v/>
      </c>
      <c r="G28" s="53">
        <f>F28/12</f>
        <v/>
      </c>
      <c r="H28" s="54">
        <f>'Rates'!$C$42</f>
        <v/>
      </c>
      <c r="I28" s="55">
        <f>F28*'Rates'!$C$5*'Rates'!$C$42</f>
        <v/>
      </c>
      <c r="J28" s="56" t="inlineStr">
        <is>
          <t>Quality assurance</t>
        </is>
      </c>
    </row>
    <row r="29">
      <c r="A29" s="49" t="inlineStr">
        <is>
          <t>Risk Manager</t>
        </is>
      </c>
      <c r="B29" s="50" t="n">
        <v>1</v>
      </c>
      <c r="C29" s="51" t="n">
        <v>0.3</v>
      </c>
      <c r="D29" s="52">
        <f>B29*C29</f>
        <v/>
      </c>
      <c r="E29" s="50" t="n">
        <v>18</v>
      </c>
      <c r="F29" s="53">
        <f>D29*E29</f>
        <v/>
      </c>
      <c r="G29" s="53">
        <f>F29/12</f>
        <v/>
      </c>
      <c r="H29" s="54">
        <f>'Rates'!$C$43</f>
        <v/>
      </c>
      <c r="I29" s="55">
        <f>F29*'Rates'!$C$5*'Rates'!$C$43</f>
        <v/>
      </c>
      <c r="J29" s="56" t="inlineStr"/>
    </row>
    <row r="30">
      <c r="A30" s="49" t="inlineStr">
        <is>
          <t>Project Controls Analyst</t>
        </is>
      </c>
      <c r="B30" s="50" t="n">
        <v>1</v>
      </c>
      <c r="C30" s="51" t="n">
        <v>0.6</v>
      </c>
      <c r="D30" s="52">
        <f>B30*C30</f>
        <v/>
      </c>
      <c r="E30" s="50" t="n">
        <v>18</v>
      </c>
      <c r="F30" s="53">
        <f>D30*E30</f>
        <v/>
      </c>
      <c r="G30" s="53">
        <f>F30/12</f>
        <v/>
      </c>
      <c r="H30" s="54">
        <f>'Rates'!$C$44</f>
        <v/>
      </c>
      <c r="I30" s="55">
        <f>F30*'Rates'!$C$5*'Rates'!$C$44</f>
        <v/>
      </c>
      <c r="J30" s="56" t="inlineStr">
        <is>
          <t>Reporting &amp; dashboards</t>
        </is>
      </c>
    </row>
    <row r="31">
      <c r="A31" s="49" t="inlineStr">
        <is>
          <t>HR &amp; People Coordinator</t>
        </is>
      </c>
      <c r="B31" s="50" t="n">
        <v>1</v>
      </c>
      <c r="C31" s="51" t="n">
        <v>0.25</v>
      </c>
      <c r="D31" s="52">
        <f>B31*C31</f>
        <v/>
      </c>
      <c r="E31" s="50" t="n">
        <v>18</v>
      </c>
      <c r="F31" s="53">
        <f>D31*E31</f>
        <v/>
      </c>
      <c r="G31" s="53">
        <f>F31/12</f>
        <v/>
      </c>
      <c r="H31" s="54">
        <f>'Rates'!$C$45</f>
        <v/>
      </c>
      <c r="I31" s="55">
        <f>F31*'Rates'!$C$5*'Rates'!$C$45</f>
        <v/>
      </c>
      <c r="J31" s="56" t="inlineStr"/>
    </row>
    <row r="32">
      <c r="A32" s="49" t="inlineStr">
        <is>
          <t>IT / Systems Support</t>
        </is>
      </c>
      <c r="B32" s="50" t="n">
        <v>1</v>
      </c>
      <c r="C32" s="51" t="n">
        <v>0.25</v>
      </c>
      <c r="D32" s="52">
        <f>B32*C32</f>
        <v/>
      </c>
      <c r="E32" s="50" t="n">
        <v>18</v>
      </c>
      <c r="F32" s="53">
        <f>D32*E32</f>
        <v/>
      </c>
      <c r="G32" s="53">
        <f>F32/12</f>
        <v/>
      </c>
      <c r="H32" s="54">
        <f>'Rates'!$C$46</f>
        <v/>
      </c>
      <c r="I32" s="55">
        <f>F32*'Rates'!$C$5*'Rates'!$C$46</f>
        <v/>
      </c>
      <c r="J32" s="56" t="inlineStr"/>
    </row>
    <row r="33">
      <c r="A33" s="49" t="inlineStr">
        <is>
          <t>Communications &amp; Stakeholder Liaison</t>
        </is>
      </c>
      <c r="B33" s="50" t="n">
        <v>1</v>
      </c>
      <c r="C33" s="51" t="n">
        <v>0.3</v>
      </c>
      <c r="D33" s="52">
        <f>B33*C33</f>
        <v/>
      </c>
      <c r="E33" s="50" t="n">
        <v>18</v>
      </c>
      <c r="F33" s="53">
        <f>D33*E33</f>
        <v/>
      </c>
      <c r="G33" s="53">
        <f>F33/12</f>
        <v/>
      </c>
      <c r="H33" s="54">
        <f>'Rates'!$C$47</f>
        <v/>
      </c>
      <c r="I33" s="55">
        <f>F33*'Rates'!$C$5*'Rates'!$C$47</f>
        <v/>
      </c>
      <c r="J33" s="56" t="inlineStr"/>
    </row>
    <row r="34">
      <c r="A34" s="49" t="inlineStr">
        <is>
          <t>Training &amp; Competency Coordinator</t>
        </is>
      </c>
      <c r="B34" s="50" t="n">
        <v>1</v>
      </c>
      <c r="C34" s="51" t="n">
        <v>0.2</v>
      </c>
      <c r="D34" s="52">
        <f>B34*C34</f>
        <v/>
      </c>
      <c r="E34" s="50" t="n">
        <v>18</v>
      </c>
      <c r="F34" s="53">
        <f>D34*E34</f>
        <v/>
      </c>
      <c r="G34" s="53">
        <f>F34/12</f>
        <v/>
      </c>
      <c r="H34" s="54">
        <f>'Rates'!$C$48</f>
        <v/>
      </c>
      <c r="I34" s="55">
        <f>F34*'Rates'!$C$5*'Rates'!$C$48</f>
        <v/>
      </c>
      <c r="J34" s="56" t="inlineStr"/>
    </row>
    <row r="35">
      <c r="A35" s="49" t="inlineStr">
        <is>
          <t>Office Manager</t>
        </is>
      </c>
      <c r="B35" s="50" t="n">
        <v>1</v>
      </c>
      <c r="C35" s="51" t="n">
        <v>0.6</v>
      </c>
      <c r="D35" s="52">
        <f>B35*C35</f>
        <v/>
      </c>
      <c r="E35" s="50" t="n">
        <v>18</v>
      </c>
      <c r="F35" s="53">
        <f>D35*E35</f>
        <v/>
      </c>
      <c r="G35" s="53">
        <f>F35/12</f>
        <v/>
      </c>
      <c r="H35" s="54">
        <f>'Rates'!$C$49</f>
        <v/>
      </c>
      <c r="I35" s="55">
        <f>F35*'Rates'!$C$5*'Rates'!$C$49</f>
        <v/>
      </c>
      <c r="J35" s="56" t="inlineStr"/>
    </row>
    <row r="36">
      <c r="A36" s="36" t="inlineStr">
        <is>
          <t xml:space="preserve">   Subtotal — PROJECT SUPPORT — Interface &amp; Back-Office  (18 months)</t>
        </is>
      </c>
      <c r="B36" s="37">
        <f>SUM(B15:B35)</f>
        <v/>
      </c>
      <c r="C36" s="36" t="n"/>
      <c r="D36" s="38">
        <f>SUM(D15:D35)</f>
        <v/>
      </c>
      <c r="E36" s="36" t="n"/>
      <c r="F36" s="39">
        <f>SUM(F15:F35)</f>
        <v/>
      </c>
      <c r="G36" s="39">
        <f>SUM(G15:G35)</f>
        <v/>
      </c>
      <c r="H36" s="36" t="n"/>
      <c r="I36" s="40">
        <f>SUM(I15:I35)</f>
        <v/>
      </c>
      <c r="J36" s="36" t="n"/>
    </row>
    <row r="38">
      <c r="A38" s="27" t="inlineStr">
        <is>
          <t>TOTAL</t>
        </is>
      </c>
      <c r="B38" s="28">
        <f>B12+B36</f>
        <v/>
      </c>
      <c r="C38" s="28" t="n"/>
      <c r="D38" s="29">
        <f>D12+D36</f>
        <v/>
      </c>
      <c r="E38" s="28" t="n"/>
      <c r="F38" s="30">
        <f>F12+F36</f>
        <v/>
      </c>
      <c r="G38" s="30">
        <f>G12+G36</f>
        <v/>
      </c>
      <c r="H38" s="28" t="n"/>
      <c r="I38" s="11">
        <f>I12+I36</f>
        <v/>
      </c>
      <c r="J38" s="2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1" customWidth="1" min="2" max="2"/>
    <col width="13" customWidth="1" min="3" max="3"/>
    <col width="8" customWidth="1" min="4" max="4"/>
    <col width="16" customWidth="1" min="5" max="5"/>
    <col width="19" customWidth="1" min="6" max="6"/>
    <col width="18" customWidth="1" min="7" max="7"/>
    <col width="12" customWidth="1" min="8" max="8"/>
    <col width="14" customWidth="1" min="9" max="9"/>
    <col width="46" customWidth="1" min="10" max="10"/>
  </cols>
  <sheetData>
    <row r="1">
      <c r="A1" s="1" t="inlineStr">
        <is>
          <t>3 · Designers — reachback, utilisation-based (non-FTE)</t>
        </is>
      </c>
    </row>
    <row r="2">
      <c r="A2" s="2" t="inlineStr">
        <is>
          <t>Design discipline reachback team. Each title's rate is set on the 'Rates' tab.</t>
        </is>
      </c>
    </row>
    <row r="4">
      <c r="A4" s="12" t="inlineStr">
        <is>
          <t>Role</t>
        </is>
      </c>
      <c r="B4" s="12" t="inlineStr">
        <is>
          <t>Headcount</t>
        </is>
      </c>
      <c r="C4" s="12" t="inlineStr">
        <is>
          <t>Utilisation %</t>
        </is>
      </c>
      <c r="D4" s="12" t="inlineStr">
        <is>
          <t>FTE</t>
        </is>
      </c>
      <c r="E4" s="12" t="inlineStr">
        <is>
          <t>Duration (months)</t>
        </is>
      </c>
      <c r="F4" s="12" t="inlineStr">
        <is>
          <t>Effort (person-months)</t>
        </is>
      </c>
      <c r="G4" s="12" t="inlineStr">
        <is>
          <t>Effort (person-years)</t>
        </is>
      </c>
      <c r="H4" s="12" t="inlineStr">
        <is>
          <t>Rate (€/hr)</t>
        </is>
      </c>
      <c r="I4" s="12" t="inlineStr">
        <is>
          <t>Cost (€)</t>
        </is>
      </c>
      <c r="J4" s="12" t="inlineStr">
        <is>
          <t>Basis / notes</t>
        </is>
      </c>
    </row>
    <row r="5">
      <c r="A5" s="13" t="inlineStr">
        <is>
          <t>DESIGN REACHBACK TEAM  (18 months)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</row>
    <row r="6">
      <c r="A6" s="49" t="inlineStr">
        <is>
          <t>Design Management / Coordination</t>
        </is>
      </c>
      <c r="B6" s="50" t="n">
        <v>1</v>
      </c>
      <c r="C6" s="51" t="n">
        <v>0.3</v>
      </c>
      <c r="D6" s="52">
        <f>B6*C6</f>
        <v/>
      </c>
      <c r="E6" s="50" t="n">
        <v>18</v>
      </c>
      <c r="F6" s="53">
        <f>D6*E6</f>
        <v/>
      </c>
      <c r="G6" s="53">
        <f>F6/12</f>
        <v/>
      </c>
      <c r="H6" s="54">
        <f>'Rates'!$C$51</f>
        <v/>
      </c>
      <c r="I6" s="55">
        <f>F6*'Rates'!$C$5*'Rates'!$C$51</f>
        <v/>
      </c>
      <c r="J6" s="56" t="inlineStr">
        <is>
          <t>Coordinates reachback requests</t>
        </is>
      </c>
    </row>
    <row r="7">
      <c r="A7" s="49" t="inlineStr">
        <is>
          <t>Utilities South</t>
        </is>
      </c>
      <c r="B7" s="50" t="n">
        <v>3</v>
      </c>
      <c r="C7" s="51" t="n">
        <v>0.25</v>
      </c>
      <c r="D7" s="52">
        <f>B7*C7</f>
        <v/>
      </c>
      <c r="E7" s="50" t="n">
        <v>18</v>
      </c>
      <c r="F7" s="53">
        <f>D7*E7</f>
        <v/>
      </c>
      <c r="G7" s="53">
        <f>F7/12</f>
        <v/>
      </c>
      <c r="H7" s="54">
        <f>'Rates'!$C$52</f>
        <v/>
      </c>
      <c r="I7" s="55">
        <f>F7*'Rates'!$C$5*'Rates'!$C$52</f>
        <v/>
      </c>
      <c r="J7" s="56" t="inlineStr">
        <is>
          <t>Reachback — design queries &amp; proposal review</t>
        </is>
      </c>
    </row>
    <row r="8">
      <c r="A8" s="49" t="inlineStr">
        <is>
          <t>Sustainability</t>
        </is>
      </c>
      <c r="B8" s="50" t="n">
        <v>2</v>
      </c>
      <c r="C8" s="51" t="n">
        <v>0.15</v>
      </c>
      <c r="D8" s="52">
        <f>B8*C8</f>
        <v/>
      </c>
      <c r="E8" s="50" t="n">
        <v>18</v>
      </c>
      <c r="F8" s="53">
        <f>D8*E8</f>
        <v/>
      </c>
      <c r="G8" s="53">
        <f>F8/12</f>
        <v/>
      </c>
      <c r="H8" s="54">
        <f>'Rates'!$C$53</f>
        <v/>
      </c>
      <c r="I8" s="55">
        <f>F8*'Rates'!$C$5*'Rates'!$C$53</f>
        <v/>
      </c>
      <c r="J8" s="56" t="inlineStr">
        <is>
          <t>On-demand</t>
        </is>
      </c>
    </row>
    <row r="9">
      <c r="A9" s="49" t="inlineStr">
        <is>
          <t>Land Access</t>
        </is>
      </c>
      <c r="B9" s="50" t="n">
        <v>2</v>
      </c>
      <c r="C9" s="51" t="n">
        <v>0.2</v>
      </c>
      <c r="D9" s="52">
        <f>B9*C9</f>
        <v/>
      </c>
      <c r="E9" s="50" t="n">
        <v>18</v>
      </c>
      <c r="F9" s="53">
        <f>D9*E9</f>
        <v/>
      </c>
      <c r="G9" s="53">
        <f>F9/12</f>
        <v/>
      </c>
      <c r="H9" s="54">
        <f>'Rates'!$C$54</f>
        <v/>
      </c>
      <c r="I9" s="55">
        <f>F9*'Rates'!$C$5*'Rates'!$C$54</f>
        <v/>
      </c>
      <c r="J9" s="56" t="inlineStr">
        <is>
          <t>On-demand</t>
        </is>
      </c>
    </row>
    <row r="10">
      <c r="A10" s="49" t="inlineStr">
        <is>
          <t>Structures</t>
        </is>
      </c>
      <c r="B10" s="50" t="n">
        <v>2</v>
      </c>
      <c r="C10" s="51" t="n">
        <v>0.25</v>
      </c>
      <c r="D10" s="52">
        <f>B10*C10</f>
        <v/>
      </c>
      <c r="E10" s="50" t="n">
        <v>18</v>
      </c>
      <c r="F10" s="53">
        <f>D10*E10</f>
        <v/>
      </c>
      <c r="G10" s="53">
        <f>F10/12</f>
        <v/>
      </c>
      <c r="H10" s="54">
        <f>'Rates'!$C$55</f>
        <v/>
      </c>
      <c r="I10" s="55">
        <f>F10*'Rates'!$C$5*'Rates'!$C$55</f>
        <v/>
      </c>
      <c r="J10" s="56" t="inlineStr">
        <is>
          <t>Design review &amp; RFI support</t>
        </is>
      </c>
    </row>
    <row r="11">
      <c r="A11" s="49" t="inlineStr">
        <is>
          <t>Heritage</t>
        </is>
      </c>
      <c r="B11" s="50" t="n">
        <v>1</v>
      </c>
      <c r="C11" s="51" t="n">
        <v>0.1</v>
      </c>
      <c r="D11" s="52">
        <f>B11*C11</f>
        <v/>
      </c>
      <c r="E11" s="50" t="n">
        <v>18</v>
      </c>
      <c r="F11" s="53">
        <f>D11*E11</f>
        <v/>
      </c>
      <c r="G11" s="53">
        <f>F11/12</f>
        <v/>
      </c>
      <c r="H11" s="54">
        <f>'Rates'!$C$56</f>
        <v/>
      </c>
      <c r="I11" s="55">
        <f>F11*'Rates'!$C$5*'Rates'!$C$56</f>
        <v/>
      </c>
      <c r="J11" s="56" t="inlineStr">
        <is>
          <t>On-demand</t>
        </is>
      </c>
    </row>
    <row r="12">
      <c r="A12" s="49" t="inlineStr">
        <is>
          <t>Cellars &amp; Playing Pitches</t>
        </is>
      </c>
      <c r="B12" s="50" t="n">
        <v>1</v>
      </c>
      <c r="C12" s="51" t="n">
        <v>0.1</v>
      </c>
      <c r="D12" s="52">
        <f>B12*C12</f>
        <v/>
      </c>
      <c r="E12" s="50" t="n">
        <v>18</v>
      </c>
      <c r="F12" s="53">
        <f>D12*E12</f>
        <v/>
      </c>
      <c r="G12" s="53">
        <f>F12/12</f>
        <v/>
      </c>
      <c r="H12" s="54">
        <f>'Rates'!$C$57</f>
        <v/>
      </c>
      <c r="I12" s="55">
        <f>F12*'Rates'!$C$5*'Rates'!$C$57</f>
        <v/>
      </c>
      <c r="J12" s="56" t="inlineStr">
        <is>
          <t>On-demand</t>
        </is>
      </c>
    </row>
    <row r="13">
      <c r="A13" s="49" t="inlineStr">
        <is>
          <t>Archaeology</t>
        </is>
      </c>
      <c r="B13" s="50" t="n">
        <v>1</v>
      </c>
      <c r="C13" s="51" t="n">
        <v>0.15</v>
      </c>
      <c r="D13" s="52">
        <f>B13*C13</f>
        <v/>
      </c>
      <c r="E13" s="50" t="n">
        <v>18</v>
      </c>
      <c r="F13" s="53">
        <f>D13*E13</f>
        <v/>
      </c>
      <c r="G13" s="53">
        <f>F13/12</f>
        <v/>
      </c>
      <c r="H13" s="54">
        <f>'Rates'!$C$58</f>
        <v/>
      </c>
      <c r="I13" s="55">
        <f>F13*'Rates'!$C$5*'Rates'!$C$58</f>
        <v/>
      </c>
      <c r="J13" s="56" t="inlineStr">
        <is>
          <t>On-demand</t>
        </is>
      </c>
    </row>
    <row r="14">
      <c r="A14" s="49" t="inlineStr">
        <is>
          <t>Biodiversity</t>
        </is>
      </c>
      <c r="B14" s="50" t="n">
        <v>1</v>
      </c>
      <c r="C14" s="51" t="n">
        <v>0.1</v>
      </c>
      <c r="D14" s="52">
        <f>B14*C14</f>
        <v/>
      </c>
      <c r="E14" s="50" t="n">
        <v>18</v>
      </c>
      <c r="F14" s="53">
        <f>D14*E14</f>
        <v/>
      </c>
      <c r="G14" s="53">
        <f>F14/12</f>
        <v/>
      </c>
      <c r="H14" s="54">
        <f>'Rates'!$C$59</f>
        <v/>
      </c>
      <c r="I14" s="55">
        <f>F14*'Rates'!$C$5*'Rates'!$C$59</f>
        <v/>
      </c>
      <c r="J14" s="56" t="inlineStr">
        <is>
          <t>On-demand</t>
        </is>
      </c>
    </row>
    <row r="15">
      <c r="A15" s="49" t="inlineStr">
        <is>
          <t>Env. Monitoring</t>
        </is>
      </c>
      <c r="B15" s="50" t="n">
        <v>2</v>
      </c>
      <c r="C15" s="51" t="n">
        <v>0.2</v>
      </c>
      <c r="D15" s="52">
        <f>B15*C15</f>
        <v/>
      </c>
      <c r="E15" s="50" t="n">
        <v>18</v>
      </c>
      <c r="F15" s="53">
        <f>D15*E15</f>
        <v/>
      </c>
      <c r="G15" s="53">
        <f>F15/12</f>
        <v/>
      </c>
      <c r="H15" s="54">
        <f>'Rates'!$C$60</f>
        <v/>
      </c>
      <c r="I15" s="55">
        <f>F15*'Rates'!$C$5*'Rates'!$C$60</f>
        <v/>
      </c>
      <c r="J15" s="56" t="inlineStr">
        <is>
          <t>Periodic monitoring</t>
        </is>
      </c>
    </row>
    <row r="16">
      <c r="A16" s="36" t="inlineStr">
        <is>
          <t xml:space="preserve">   Subtotal — DESIGN REACHBACK TEAM  (18 months)</t>
        </is>
      </c>
      <c r="B16" s="37">
        <f>SUM(B6:B15)</f>
        <v/>
      </c>
      <c r="C16" s="36" t="n"/>
      <c r="D16" s="38">
        <f>SUM(D6:D15)</f>
        <v/>
      </c>
      <c r="E16" s="36" t="n"/>
      <c r="F16" s="39">
        <f>SUM(F6:F15)</f>
        <v/>
      </c>
      <c r="G16" s="39">
        <f>SUM(G6:G15)</f>
        <v/>
      </c>
      <c r="H16" s="36" t="n"/>
      <c r="I16" s="40">
        <f>SUM(I6:I15)</f>
        <v/>
      </c>
      <c r="J16" s="36" t="n"/>
    </row>
    <row r="18">
      <c r="A18" s="27" t="inlineStr">
        <is>
          <t>TOTAL</t>
        </is>
      </c>
      <c r="B18" s="28">
        <f>B16</f>
        <v/>
      </c>
      <c r="C18" s="28" t="n"/>
      <c r="D18" s="29">
        <f>D16</f>
        <v/>
      </c>
      <c r="E18" s="28" t="n"/>
      <c r="F18" s="30">
        <f>F16</f>
        <v/>
      </c>
      <c r="G18" s="30">
        <f>G16</f>
        <v/>
      </c>
      <c r="H18" s="28" t="n"/>
      <c r="I18" s="11">
        <f>I16</f>
        <v/>
      </c>
      <c r="J1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2026-06-30T13:34:46Z</dcterms:created>
  <dcterms:modified xsi:type="dcterms:W3CDTF">2026-06-30T13:34:46Z</dcterms:modified>
</cp:coreProperties>
</file>